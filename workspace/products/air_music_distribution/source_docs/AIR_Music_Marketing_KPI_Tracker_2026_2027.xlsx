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Monthly Tracker" sheetId="1" r:id="rId5"/>
    <sheet state="visible" name="📋 Інструкція" sheetId="2" r:id="rId6"/>
    <sheet state="visible" name="📈 Річний підсумок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tc={39c8d21f-d921-4aec-b232-39ed63bcf209}</author>
  </authors>
  <commentList>
    <comment authorId="0" xr:uid="{39c8d21f-d921-4aec-b232-39ed63bcf209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рахуємо поквартально
</t>
      </text>
    </comment>
  </commentList>
</comments>
</file>

<file path=xl/sharedStrings.xml><?xml version="1.0" encoding="utf-8"?>
<sst xmlns="http://schemas.openxmlformats.org/spreadsheetml/2006/main" count="252" uniqueCount="143">
  <si>
    <t>AIR Music Distribution · SEA KPI Tracker 2026/2027</t>
  </si>
  <si>
    <t>Ф1 Стабілізація · PH</t>
  </si>
  <si>
    <t>Ф2 Оптимізація · PH</t>
  </si>
  <si>
    <t>Ф3 Гео-розширення · MY</t>
  </si>
  <si>
    <t>Ф4 Масштаб · ID</t>
  </si>
  <si>
    <t>Категорія</t>
  </si>
  <si>
    <t>KPI Метрика</t>
  </si>
  <si>
    <t>M1 · Кві 26</t>
  </si>
  <si>
    <t>M2 · Тра 26</t>
  </si>
  <si>
    <t>M3 · Черв 26</t>
  </si>
  <si>
    <t>M4 · Лип 26</t>
  </si>
  <si>
    <t>M5 · Серп 26</t>
  </si>
  <si>
    <t>M6 · Вер 26</t>
  </si>
  <si>
    <t>M7 · Жов 26</t>
  </si>
  <si>
    <t>M8 · Лис 26</t>
  </si>
  <si>
    <t>M9 · Гру 26</t>
  </si>
  <si>
    <t>M10 · Січ 27</t>
  </si>
  <si>
    <t>M11 · Лют 27</t>
  </si>
  <si>
    <t>M12 · Бер 27</t>
  </si>
  <si>
    <t>📂 Категорія</t>
  </si>
  <si>
    <t>📌 KPI Метрика</t>
  </si>
  <si>
    <t>🎯 План</t>
  </si>
  <si>
    <t>📈 Факт</t>
  </si>
  <si>
    <t>% вик.</t>
  </si>
  <si>
    <t>🔁 Воронка</t>
  </si>
  <si>
    <t>Заявки (Leads), шт.</t>
  </si>
  <si>
    <t>MQL (кваліф. ліди), шт.</t>
  </si>
  <si>
    <t>SQL (дзвінки / Demo), шт.</t>
  </si>
  <si>
    <t>Нових платних клієнтів, шт.</t>
  </si>
  <si>
    <t>Накопич. клієнтів (з 0), шт.</t>
  </si>
  <si>
    <t>Конверсія Ліди → MQL, %</t>
  </si>
  <si>
    <t>Конверсія MQL → SQL, %</t>
  </si>
  <si>
    <t>Конверсія SQL → Клієнт, %</t>
  </si>
  <si>
    <t>💰 Unit Econ</t>
  </si>
  <si>
    <t>CAC зведений, USD</t>
  </si>
  <si>
    <t>CPL (вартість ліда), USD</t>
  </si>
  <si>
    <t>Витрати на рекламу, USD</t>
  </si>
  <si>
    <t>LTV:CAC ratio</t>
  </si>
  <si>
    <t>📣 Paid Media</t>
  </si>
  <si>
    <t>CTR платної реклами, %</t>
  </si>
  <si>
    <t>Google: покази, тис.</t>
  </si>
  <si>
    <t>Meta: охоплення (люди), тис.</t>
  </si>
  <si>
    <t>TikTok: переглядів, тис.</t>
  </si>
  <si>
    <t>🌐 Бренд</t>
  </si>
  <si>
    <t>Брендовий пошук: зріст, %</t>
  </si>
  <si>
    <t>Частка прямого трафіку, %</t>
  </si>
  <si>
    <t>Загальне охоплення (платне+орг.), тис.</t>
  </si>
  <si>
    <t>📱 SMM</t>
  </si>
  <si>
    <t>ER соцмереж (Engagement Rate), %</t>
  </si>
  <si>
    <t>Підписники (всі платформи), шт.</t>
  </si>
  <si>
    <t>✍️ Контент / PR</t>
  </si>
  <si>
    <t>Статей у блозі (накопич.), шт.</t>
  </si>
  <si>
    <t>Кейс-стаді опубл. (накопич.), шт.</t>
  </si>
  <si>
    <t>PR-публікації (накопич.), шт.</t>
  </si>
  <si>
    <t>📧 Email</t>
  </si>
  <si>
    <t>Email Open Rate (OR), %</t>
  </si>
  <si>
    <t>Email CTR, %</t>
  </si>
  <si>
    <t>🔒 Утримання</t>
  </si>
  <si>
    <t>Утримання клієнтів 3M, %</t>
  </si>
  <si>
    <t>Відгуки / Рекомендації (накопич.)</t>
  </si>
  <si>
    <t>Партнерства (накопич.), шт.</t>
  </si>
  <si>
    <t>🏁 Накопичено клієнтів (рядок 4 + підсумок)</t>
  </si>
  <si>
    <t>📡 РОЗБИВКА ЛІДІВ ЗА КАНАЛАМИ  ·  план та факт по місяцях</t>
  </si>
  <si>
    <t>📂 Канал</t>
  </si>
  <si>
    <t>📌 Метрика</t>
  </si>
  <si>
    <t>🔍 Google Search Ads</t>
  </si>
  <si>
    <t>Ліди (заявки), шт.</t>
  </si>
  <si>
    <t>MQL, шт.</t>
  </si>
  <si>
    <t>SQL, шт.</t>
  </si>
  <si>
    <t>✅ Клієнти (контракт), шт.</t>
  </si>
  <si>
    <t>📘 Meta Ads</t>
  </si>
  <si>
    <t>🎵 TikTok Ads</t>
  </si>
  <si>
    <t>🌿 Органіка / Сайт</t>
  </si>
  <si>
    <t>✍️ Блог / SEO</t>
  </si>
  <si>
    <t xml:space="preserve">                                                   MQL, шт.</t>
  </si>
  <si>
    <t>📧 Email / CRM</t>
  </si>
  <si>
    <t>📱 SMM / Соцмережі</t>
  </si>
  <si>
    <t>🎤 Influencer / UGC</t>
  </si>
  <si>
    <t>🎪 Events / Offline</t>
  </si>
  <si>
    <t>🔗 Direct / Referral</t>
  </si>
  <si>
    <t>∑ Усього лідів (сума каналів)</t>
  </si>
  <si>
    <t>📊 MQL загалом</t>
  </si>
  <si>
    <t>📊 SQL загалом</t>
  </si>
  <si>
    <t>🏁 Усього клієнтів (сума каналів)</t>
  </si>
  <si>
    <t>📊 AIR Music KPI Tracker · Інструкція з використання</t>
  </si>
  <si>
    <t>ЯК ЗАПОВНЮВАТИ ТАБЛИЦЮ</t>
  </si>
  <si>
    <t>1. Йди на лист '📊 Monthly Tracker'</t>
  </si>
  <si>
    <t>2. На початку кожного місяця заповнюй колонку 📈 Факт (блакитні клітинки) по кожному KPI</t>
  </si>
  <si>
    <t>3. Колонка 🎯 План заповнена заздалегідь — на основі стратегії SEA 2026/2027</t>
  </si>
  <si>
    <t>4. Колонка % вик. розраховується автоматично. Нічого руками міняти не потрібно.</t>
  </si>
  <si>
    <t>5. Значення плану можна коригувати якщо стратегія змінилась — це нормально</t>
  </si>
  <si>
    <t>КОЛЬОРОВЕ КОДУВАННЯ (умовне форматування — додати вручну при бажанні)</t>
  </si>
  <si>
    <t>🟢 % виконання ≥ 90% — ціль досягнута, все добре</t>
  </si>
  <si>
    <t>🟡 % виконання 70–89% — є відставання, потрібна увага</t>
  </si>
  <si>
    <t>🔴 % виконання &lt; 70% — критичне відставання, потрібен action plan</t>
  </si>
  <si>
    <t>ПЛАН ЗА ФАЗАМИ (зі стратегії)</t>
  </si>
  <si>
    <t>Ф1 · Міс. 1–3 (Бер–Тра 26) · Стабілізація PH: 6–8 клієнтів/міс · MQL 80–100 · CAC $350–380</t>
  </si>
  <si>
    <t>Ф2 · Міс. 4–6 (Чер–Сер 26) · Оптимізація PH: 8–10 клієнтів/міс · MQL 100–120 · CAC $280–310</t>
  </si>
  <si>
    <t>Ф3 · Міс. 7–9 (Вер–Лис 26) · Гео-розширення MY: 10–11 клієнтів/міс · MQL 120–140 · CAC $230–260</t>
  </si>
  <si>
    <t>Ф4 · Міс. 10–12 (Гру 26–Лют 27) · Масштаб ID: 12–14 клієнтів/міс · MQL 140–160 · CAC $210–240</t>
  </si>
  <si>
    <t>РІЧНА ЦІЛЬ: 115–130 платних клієнтів · 1,200–1,450 MQL · CAC ≤ $260 · LTV:CAC ≥ 4.1:1</t>
  </si>
  <si>
    <t>ТРИГЕРИ ДЛЯ ПЕРЕГЛЯДУ СТРАТЕГІЇ</t>
  </si>
  <si>
    <t>⚠ CAC &gt; $380 у Ф1 → призупини 30% слабких адсетів, перегляни ICP</t>
  </si>
  <si>
    <t>⚠ MQL &lt; 80/міс у Ф1 → збільши бюджет на Lead Gen (якщо CPL &lt; $35)</t>
  </si>
  <si>
    <t>⚠ Конверсія SQL→Угода &lt; 20% → перевір якість MQL та sales-скрипт</t>
  </si>
  <si>
    <t>⚠ CAC у MY &gt; +30% від PH → не масштабуй MY, чекай стабілізації</t>
  </si>
  <si>
    <t>💡 Джерело плану: AIR_SEA_Marketing_Strategy_2026_v8.pptx · AIR_Music_Roadmap.xlsx</t>
  </si>
  <si>
    <t>AIR Music · SEA · Річний підсумок KPI 2026/2027</t>
  </si>
  <si>
    <t>Ціль на рік</t>
  </si>
  <si>
    <t>Ф1 факт
(M1-M3)</t>
  </si>
  <si>
    <t>Ф2 факт
(M4-M6)</t>
  </si>
  <si>
    <t>Ф3 факт
(M7-M9)</t>
  </si>
  <si>
    <t>Ф4 факт
(M10-M12)</t>
  </si>
  <si>
    <t>Рік ФАКТ</t>
  </si>
  <si>
    <t>Рік ПЛАН</t>
  </si>
  <si>
    <t>1,600–2,000</t>
  </si>
  <si>
    <t>1,200–1,450</t>
  </si>
  <si>
    <t>280–360</t>
  </si>
  <si>
    <t>115–130</t>
  </si>
  <si>
    <t>Накопич. клієнтів наприкінці</t>
  </si>
  <si>
    <t>115–130+</t>
  </si>
  <si>
    <t>CAC зведений (сер.), USD</t>
  </si>
  <si>
    <t>≤$260</t>
  </si>
  <si>
    <t>CPL середній, USD</t>
  </si>
  <si>
    <t>≤$35</t>
  </si>
  <si>
    <t>Витрати на рекламу РАЗОМ, USD</t>
  </si>
  <si>
    <t>$18,000</t>
  </si>
  <si>
    <t>CTR платної реклами (сер.), %</t>
  </si>
  <si>
    <t>1.5–3%</t>
  </si>
  <si>
    <t>ER соцмереж (сер.), %</t>
  </si>
  <si>
    <t>3–6%</t>
  </si>
  <si>
    <t>Підписники наприкінці</t>
  </si>
  <si>
    <t>7,000+</t>
  </si>
  <si>
    <t>Статей у блозі (накопич.)</t>
  </si>
  <si>
    <t>38+</t>
  </si>
  <si>
    <t>Кейс-стаді (накопич.)</t>
  </si>
  <si>
    <t>8–10</t>
  </si>
  <si>
    <t>Email Open Rate (сер.), %</t>
  </si>
  <si>
    <t>≥35%</t>
  </si>
  <si>
    <t>Відгуки / Рекомендації</t>
  </si>
  <si>
    <t>20–30</t>
  </si>
  <si>
    <t>Партнерства</t>
  </si>
  <si>
    <t>5–10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</si>
</sst>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\$#,##0"/>
  </numFmts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8.0"/>
      <color rgb="FFFFFFFF"/>
      <name val="Arial"/>
    </font>
    <font>
      <b/>
      <sz val="9.0"/>
      <color rgb="FF0D0D1A"/>
      <name val="Arial"/>
    </font>
    <font>
      <sz val="9.0"/>
      <color rgb="FF0D0D1A"/>
      <name val="Arial"/>
    </font>
    <font>
      <b/>
      <sz val="9.0"/>
      <color rgb="FF1ABC9C"/>
      <name val="Arial"/>
    </font>
    <font>
      <b/>
      <sz val="9.0"/>
      <color rgb="FF1A1A2E"/>
      <name val="Arial"/>
    </font>
    <font>
      <b/>
      <sz val="9.0"/>
      <color rgb="FFAAAAAA"/>
      <name val="Arial"/>
    </font>
    <font>
      <b/>
      <sz val="11.0"/>
      <color rgb="FFFFFFFF"/>
      <name val="Cambria"/>
    </font>
    <font>
      <b/>
      <sz val="11.0"/>
      <color theme="1"/>
      <name val="Cambria"/>
    </font>
    <font>
      <sz val="10.0"/>
      <color rgb="FF0D0D1A"/>
      <name val="Arial"/>
    </font>
    <font>
      <sz val="10.0"/>
      <color rgb="FF888888"/>
      <name val="Arial"/>
    </font>
    <font>
      <b/>
      <sz val="12.0"/>
      <color rgb="FFFFFF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D0D1A"/>
        <bgColor rgb="FF0D0D1A"/>
      </patternFill>
    </fill>
    <fill>
      <patternFill patternType="solid">
        <fgColor rgb="FF1A2A52"/>
        <bgColor rgb="FF1A2A52"/>
      </patternFill>
    </fill>
    <fill>
      <patternFill patternType="solid">
        <fgColor rgb="FF1D3D6B"/>
        <bgColor rgb="FF1D3D6B"/>
      </patternFill>
    </fill>
    <fill>
      <patternFill patternType="solid">
        <fgColor rgb="FF1E4F72"/>
        <bgColor rgb="FF1E4F72"/>
      </patternFill>
    </fill>
    <fill>
      <patternFill patternType="solid">
        <fgColor rgb="FF1A6070"/>
        <bgColor rgb="FF1A6070"/>
      </patternFill>
    </fill>
    <fill>
      <patternFill patternType="solid">
        <fgColor rgb="FF0F3460"/>
        <bgColor rgb="FF0F3460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EDF4FB"/>
        <bgColor rgb="FFEDF4FB"/>
      </patternFill>
    </fill>
    <fill>
      <patternFill patternType="solid">
        <fgColor rgb="FFFFFF00"/>
        <bgColor rgb="FFFFFF00"/>
      </patternFill>
    </fill>
    <fill>
      <patternFill patternType="solid">
        <fgColor rgb="FFE94560"/>
        <bgColor rgb="FFE94560"/>
      </patternFill>
    </fill>
    <fill>
      <patternFill patternType="solid">
        <fgColor rgb="FFFDDCDC"/>
        <bgColor rgb="FFFDDCDC"/>
      </patternFill>
    </fill>
    <fill>
      <patternFill patternType="solid">
        <fgColor rgb="FF1F3864"/>
        <bgColor rgb="FF1F3864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E2EFDA"/>
        <bgColor rgb="FFE2EFDA"/>
      </patternFill>
    </fill>
    <fill>
      <patternFill patternType="solid">
        <fgColor rgb="FFF0F0F0"/>
        <bgColor rgb="FFF0F0F0"/>
      </patternFill>
    </fill>
    <fill>
      <patternFill patternType="solid">
        <fgColor rgb="FFE8F5E9"/>
        <bgColor rgb="FFE8F5E9"/>
      </patternFill>
    </fill>
  </fills>
  <borders count="12">
    <border/>
    <border>
      <left/>
      <top/>
      <bottom/>
    </border>
    <border>
      <right/>
      <top/>
      <bottom/>
    </border>
    <border>
      <top/>
      <bottom/>
    </border>
    <border>
      <left/>
      <right/>
      <top/>
      <bottom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</border>
    <border>
      <left style="thin">
        <color rgb="FFD0D8E4"/>
      </left>
      <top style="thin">
        <color rgb="FFD0D8E4"/>
      </top>
      <bottom style="thin">
        <color rgb="FFD0D8E4"/>
      </bottom>
    </border>
    <border>
      <right style="thin">
        <color rgb="FFD0D8E4"/>
      </right>
      <top style="thin">
        <color rgb="FFD0D8E4"/>
      </top>
      <bottom style="thin">
        <color rgb="FFD0D8E4"/>
      </bottom>
    </border>
    <border>
      <top style="thin">
        <color rgb="FFD0D8E4"/>
      </top>
      <bottom style="thin">
        <color rgb="FFD0D8E4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3" fillId="0" fontId="2" numFmtId="0" xfId="0" applyBorder="1" applyFont="1"/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7" fontId="5" numFmtId="0" xfId="0" applyAlignment="1" applyBorder="1" applyFill="1" applyFont="1">
      <alignment horizontal="center" shrinkToFit="0" vertical="center" wrapText="0"/>
    </xf>
    <xf borderId="4" fillId="7" fontId="5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5" fillId="8" fontId="7" numFmtId="0" xfId="0" applyAlignment="1" applyBorder="1" applyFill="1" applyFont="1">
      <alignment horizontal="left" shrinkToFit="0" vertical="center" wrapText="1"/>
    </xf>
    <xf borderId="5" fillId="8" fontId="8" numFmtId="0" xfId="0" applyAlignment="1" applyBorder="1" applyFont="1">
      <alignment horizontal="left" shrinkToFit="0" vertical="center" wrapText="1"/>
    </xf>
    <xf borderId="5" fillId="9" fontId="9" numFmtId="3" xfId="0" applyAlignment="1" applyBorder="1" applyFill="1" applyFont="1" applyNumberFormat="1">
      <alignment horizontal="center" shrinkToFit="0" vertical="center" wrapText="0"/>
    </xf>
    <xf borderId="5" fillId="10" fontId="10" numFmtId="3" xfId="0" applyAlignment="1" applyBorder="1" applyFill="1" applyFont="1" applyNumberFormat="1">
      <alignment horizontal="center" shrinkToFit="0" vertical="center" wrapText="0"/>
    </xf>
    <xf borderId="5" fillId="8" fontId="8" numFmtId="9" xfId="0" applyAlignment="1" applyBorder="1" applyFont="1" applyNumberFormat="1">
      <alignment horizontal="center" shrinkToFit="0" vertical="center" wrapText="0"/>
    </xf>
    <xf borderId="5" fillId="9" fontId="8" numFmtId="0" xfId="0" applyAlignment="1" applyBorder="1" applyFont="1">
      <alignment horizontal="left" shrinkToFit="0" vertical="center" wrapText="1"/>
    </xf>
    <xf borderId="5" fillId="9" fontId="8" numFmtId="9" xfId="0" applyAlignment="1" applyBorder="1" applyFont="1" applyNumberFormat="1">
      <alignment horizontal="center" shrinkToFit="0" vertical="center" wrapText="0"/>
    </xf>
    <xf borderId="5" fillId="8" fontId="9" numFmtId="3" xfId="0" applyAlignment="1" applyBorder="1" applyFont="1" applyNumberFormat="1">
      <alignment horizontal="center" shrinkToFit="0" vertical="center" wrapText="0"/>
    </xf>
    <xf borderId="5" fillId="9" fontId="9" numFmtId="164" xfId="0" applyAlignment="1" applyBorder="1" applyFont="1" applyNumberFormat="1">
      <alignment horizontal="center" shrinkToFit="0" vertical="center" wrapText="0"/>
    </xf>
    <xf borderId="5" fillId="10" fontId="10" numFmtId="164" xfId="0" applyAlignment="1" applyBorder="1" applyFont="1" applyNumberFormat="1">
      <alignment horizontal="center" shrinkToFit="0" vertical="center" wrapText="0"/>
    </xf>
    <xf borderId="5" fillId="8" fontId="9" numFmtId="164" xfId="0" applyAlignment="1" applyBorder="1" applyFont="1" applyNumberFormat="1">
      <alignment horizontal="center" shrinkToFit="0" vertical="center" wrapText="0"/>
    </xf>
    <xf borderId="5" fillId="8" fontId="9" numFmtId="165" xfId="0" applyAlignment="1" applyBorder="1" applyFont="1" applyNumberFormat="1">
      <alignment horizontal="center" shrinkToFit="0" vertical="center" wrapText="0"/>
    </xf>
    <xf borderId="5" fillId="10" fontId="10" numFmtId="165" xfId="0" applyAlignment="1" applyBorder="1" applyFont="1" applyNumberFormat="1">
      <alignment horizontal="center" shrinkToFit="0" vertical="center" wrapText="0"/>
    </xf>
    <xf borderId="5" fillId="9" fontId="9" numFmtId="165" xfId="0" applyAlignment="1" applyBorder="1" applyFont="1" applyNumberFormat="1">
      <alignment horizontal="center" shrinkToFit="0" vertical="center" wrapText="0"/>
    </xf>
    <xf borderId="5" fillId="9" fontId="11" numFmtId="3" xfId="0" applyAlignment="1" applyBorder="1" applyFont="1" applyNumberFormat="1">
      <alignment horizontal="center" shrinkToFit="0" vertical="center" wrapText="0"/>
    </xf>
    <xf borderId="5" fillId="11" fontId="11" numFmtId="3" xfId="0" applyAlignment="1" applyBorder="1" applyFill="1" applyFont="1" applyNumberFormat="1">
      <alignment horizontal="center" shrinkToFit="0" vertical="center" wrapText="0"/>
    </xf>
    <xf borderId="5" fillId="8" fontId="11" numFmtId="164" xfId="0" applyAlignment="1" applyBorder="1" applyFont="1" applyNumberFormat="1">
      <alignment horizontal="center" shrinkToFit="0" vertical="center" wrapText="0"/>
    </xf>
    <xf borderId="5" fillId="9" fontId="7" numFmtId="0" xfId="0" applyAlignment="1" applyBorder="1" applyFont="1">
      <alignment horizontal="left" shrinkToFit="0" vertical="center" wrapText="1"/>
    </xf>
    <xf borderId="5" fillId="8" fontId="11" numFmtId="3" xfId="0" applyAlignment="1" applyBorder="1" applyFont="1" applyNumberFormat="1">
      <alignment horizontal="center" shrinkToFit="0" vertical="center" wrapText="0"/>
    </xf>
    <xf borderId="6" fillId="12" fontId="5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5" fillId="12" fontId="5" numFmtId="3" xfId="0" applyAlignment="1" applyBorder="1" applyFont="1" applyNumberFormat="1">
      <alignment horizontal="center" shrinkToFit="0" vertical="center" wrapText="0"/>
    </xf>
    <xf borderId="5" fillId="13" fontId="7" numFmtId="3" xfId="0" applyAlignment="1" applyBorder="1" applyFill="1" applyFont="1" applyNumberFormat="1">
      <alignment horizontal="center" shrinkToFit="0" vertical="center" wrapText="0"/>
    </xf>
    <xf borderId="5" fillId="12" fontId="5" numFmtId="9" xfId="0" applyAlignment="1" applyBorder="1" applyFont="1" applyNumberFormat="1">
      <alignment horizontal="center" shrinkToFit="0" vertical="center" wrapText="0"/>
    </xf>
    <xf borderId="6" fillId="7" fontId="3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5" fillId="7" fontId="5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4" fillId="14" fontId="12" numFmtId="0" xfId="0" applyAlignment="1" applyBorder="1" applyFill="1" applyFont="1">
      <alignment shrinkToFit="0" vertical="bottom" wrapText="0"/>
    </xf>
    <xf borderId="0" fillId="0" fontId="4" numFmtId="9" xfId="0" applyAlignment="1" applyFont="1" applyNumberFormat="1">
      <alignment shrinkToFit="0" vertical="bottom" wrapText="0"/>
    </xf>
    <xf borderId="4" fillId="15" fontId="4" numFmtId="0" xfId="0" applyAlignment="1" applyBorder="1" applyFill="1" applyFont="1">
      <alignment shrinkToFit="0" vertical="bottom" wrapText="0"/>
    </xf>
    <xf borderId="4" fillId="16" fontId="4" numFmtId="0" xfId="0" applyAlignment="1" applyBorder="1" applyFill="1" applyFont="1">
      <alignment shrinkToFit="0" vertical="bottom" wrapText="0"/>
    </xf>
    <xf borderId="4" fillId="17" fontId="13" numFmtId="0" xfId="0" applyAlignment="1" applyBorder="1" applyFill="1" applyFont="1">
      <alignment shrinkToFit="0" vertical="bottom" wrapText="0"/>
    </xf>
    <xf borderId="1" fillId="14" fontId="12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15" fontId="4" numFmtId="0" xfId="0" applyAlignment="1" applyBorder="1" applyFont="1">
      <alignment shrinkToFit="0" vertical="bottom" wrapText="0"/>
    </xf>
    <xf borderId="4" fillId="18" fontId="13" numFmtId="0" xfId="0" applyAlignment="1" applyBorder="1" applyFill="1" applyFont="1">
      <alignment shrinkToFit="0" vertical="bottom" wrapText="0"/>
    </xf>
    <xf borderId="4" fillId="18" fontId="13" numFmtId="9" xfId="0" applyAlignment="1" applyBorder="1" applyFont="1" applyNumberFormat="1">
      <alignment shrinkToFit="0" vertical="bottom" wrapText="0"/>
    </xf>
    <xf borderId="4" fillId="15" fontId="4" numFmtId="9" xfId="0" applyAlignment="1" applyBorder="1" applyFont="1" applyNumberFormat="1">
      <alignment shrinkToFit="0" vertical="bottom" wrapText="0"/>
    </xf>
    <xf borderId="9" fillId="2" fontId="3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8" fontId="14" numFmtId="0" xfId="0" applyAlignment="1" applyBorder="1" applyFont="1">
      <alignment horizontal="left" shrinkToFit="0" vertical="center" wrapText="1"/>
    </xf>
    <xf borderId="9" fillId="7" fontId="3" numFmtId="0" xfId="0" applyAlignment="1" applyBorder="1" applyFont="1">
      <alignment horizontal="left" shrinkToFit="0" vertical="center" wrapText="1"/>
    </xf>
    <xf borderId="9" fillId="9" fontId="14" numFmtId="0" xfId="0" applyAlignment="1" applyBorder="1" applyFont="1">
      <alignment horizontal="left" shrinkToFit="0" vertical="center" wrapText="1"/>
    </xf>
    <xf borderId="9" fillId="12" fontId="3" numFmtId="0" xfId="0" applyAlignment="1" applyBorder="1" applyFont="1">
      <alignment horizontal="left" shrinkToFit="0" vertical="center" wrapText="1"/>
    </xf>
    <xf borderId="9" fillId="19" fontId="15" numFmtId="0" xfId="0" applyAlignment="1" applyBorder="1" applyFill="1" applyFont="1">
      <alignment horizontal="left" shrinkToFit="0" vertical="center" wrapText="1"/>
    </xf>
    <xf borderId="1" fillId="2" fontId="16" numFmtId="0" xfId="0" applyAlignment="1" applyBorder="1" applyFont="1">
      <alignment horizontal="center" shrinkToFit="0" vertical="center" wrapText="0"/>
    </xf>
    <xf borderId="5" fillId="8" fontId="9" numFmtId="0" xfId="0" applyAlignment="1" applyBorder="1" applyFont="1">
      <alignment horizontal="center" shrinkToFit="0" vertical="center" wrapText="0"/>
    </xf>
    <xf borderId="5" fillId="10" fontId="7" numFmtId="0" xfId="0" applyAlignment="1" applyBorder="1" applyFont="1">
      <alignment horizontal="center" shrinkToFit="0" vertical="center" wrapText="0"/>
    </xf>
    <xf borderId="5" fillId="20" fontId="10" numFmtId="0" xfId="0" applyAlignment="1" applyBorder="1" applyFill="1" applyFont="1">
      <alignment horizontal="center" shrinkToFit="0" vertical="center" wrapText="0"/>
    </xf>
    <xf borderId="5" fillId="9" fontId="9" numFmtId="0" xfId="0" applyAlignment="1" applyBorder="1" applyFont="1">
      <alignment horizontal="center" shrinkToFit="0" vertical="center" wrapText="0"/>
    </xf>
    <xf borderId="5" fillId="10" fontId="7" numFmtId="10" xfId="0" applyAlignment="1" applyBorder="1" applyFont="1" applyNumberFormat="1">
      <alignment horizontal="center" shrinkToFit="0" vertical="center" wrapText="0"/>
    </xf>
    <xf borderId="5" fillId="20" fontId="10" numFmtId="10" xfId="0" applyAlignment="1" applyBorder="1" applyFont="1" applyNumberFormat="1">
      <alignment horizontal="center" shrinkToFit="0" vertical="center" wrapText="0"/>
    </xf>
    <xf borderId="5" fillId="10" fontId="7" numFmtId="164" xfId="0" applyAlignment="1" applyBorder="1" applyFont="1" applyNumberFormat="1">
      <alignment horizontal="center" shrinkToFit="0" vertical="center" wrapText="0"/>
    </xf>
    <xf borderId="5" fillId="20" fontId="10" numFmtId="164" xfId="0" applyAlignment="1" applyBorder="1" applyFont="1" applyNumberFormat="1">
      <alignment horizontal="center" shrinkToFit="0" vertical="center" wrapText="0"/>
    </xf>
    <xf borderId="5" fillId="10" fontId="7" numFmtId="3" xfId="0" applyAlignment="1" applyBorder="1" applyFont="1" applyNumberFormat="1">
      <alignment horizontal="center" shrinkToFit="0" vertical="center" wrapText="0"/>
    </xf>
    <xf borderId="5" fillId="20" fontId="10" numFmtId="3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3"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ataliia Borska" id="{cbbc6cbe-e0d2-47a8-9dc6-c9a8ef04a69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5" dT="2026-05-12T12:45:45.00" personId="{cbbc6cbe-e0d2-47a8-9dc6-c9a8ef04a692}" id="{39c8d21f-d921-4aec-b232-39ed63bcf209}" done="0">
    <x18tc:text xml:space="preserve">рахуємо поквартально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4.57"/>
    <col customWidth="1" min="2" max="2" width="38.86"/>
    <col customWidth="1" min="3" max="4" width="10.0"/>
    <col customWidth="1" min="5" max="5" width="8.0"/>
    <col customWidth="1" min="6" max="7" width="10.0"/>
    <col customWidth="1" min="8" max="8" width="8.0"/>
    <col customWidth="1" min="9" max="10" width="10.0"/>
    <col customWidth="1" min="11" max="11" width="8.0"/>
    <col customWidth="1" min="12" max="13" width="10.0"/>
    <col customWidth="1" min="14" max="14" width="8.0"/>
    <col customWidth="1" min="15" max="16" width="10.0"/>
    <col customWidth="1" min="17" max="17" width="8.0"/>
    <col customWidth="1" min="18" max="19" width="10.0"/>
    <col customWidth="1" min="20" max="20" width="8.0"/>
    <col customWidth="1" min="21" max="22" width="10.0"/>
    <col customWidth="1" min="23" max="23" width="8.0"/>
    <col customWidth="1" min="24" max="25" width="10.0"/>
    <col customWidth="1" min="26" max="26" width="8.0"/>
    <col customWidth="1" min="27" max="28" width="10.0"/>
    <col customWidth="1" min="29" max="29" width="8.0"/>
    <col customWidth="1" min="30" max="31" width="10.0"/>
    <col customWidth="1" min="32" max="32" width="8.0"/>
    <col customWidth="1" min="33" max="34" width="10.0"/>
    <col customWidth="1" min="35" max="35" width="8.0"/>
    <col customWidth="1" min="36" max="37" width="10.0"/>
    <col customWidth="1" min="38" max="38" width="8.0"/>
  </cols>
  <sheetData>
    <row r="1" ht="27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2"/>
      <c r="L1" s="5" t="s">
        <v>2</v>
      </c>
      <c r="M1" s="4"/>
      <c r="N1" s="4"/>
      <c r="O1" s="4"/>
      <c r="P1" s="4"/>
      <c r="Q1" s="4"/>
      <c r="R1" s="4"/>
      <c r="S1" s="4"/>
      <c r="T1" s="2"/>
      <c r="U1" s="6" t="s">
        <v>3</v>
      </c>
      <c r="V1" s="4"/>
      <c r="W1" s="4"/>
      <c r="X1" s="4"/>
      <c r="Y1" s="4"/>
      <c r="Z1" s="4"/>
      <c r="AA1" s="4"/>
      <c r="AB1" s="4"/>
      <c r="AC1" s="2"/>
      <c r="AD1" s="7" t="s">
        <v>4</v>
      </c>
      <c r="AE1" s="4"/>
      <c r="AF1" s="4"/>
      <c r="AG1" s="4"/>
      <c r="AH1" s="4"/>
      <c r="AI1" s="4"/>
      <c r="AJ1" s="4"/>
      <c r="AK1" s="4"/>
      <c r="AL1" s="2"/>
    </row>
    <row r="2" ht="21.75" customHeight="1">
      <c r="A2" s="8" t="s">
        <v>5</v>
      </c>
      <c r="B2" s="8" t="s">
        <v>6</v>
      </c>
      <c r="C2" s="9" t="s">
        <v>7</v>
      </c>
      <c r="D2" s="4"/>
      <c r="E2" s="2"/>
      <c r="F2" s="9" t="s">
        <v>8</v>
      </c>
      <c r="G2" s="4"/>
      <c r="H2" s="2"/>
      <c r="I2" s="9" t="s">
        <v>9</v>
      </c>
      <c r="J2" s="4"/>
      <c r="K2" s="2"/>
      <c r="L2" s="9" t="s">
        <v>10</v>
      </c>
      <c r="M2" s="4"/>
      <c r="N2" s="2"/>
      <c r="O2" s="9" t="s">
        <v>11</v>
      </c>
      <c r="P2" s="4"/>
      <c r="Q2" s="2"/>
      <c r="R2" s="9" t="s">
        <v>12</v>
      </c>
      <c r="S2" s="4"/>
      <c r="T2" s="2"/>
      <c r="U2" s="9" t="s">
        <v>13</v>
      </c>
      <c r="V2" s="4"/>
      <c r="W2" s="2"/>
      <c r="X2" s="9" t="s">
        <v>14</v>
      </c>
      <c r="Y2" s="4"/>
      <c r="Z2" s="2"/>
      <c r="AA2" s="9" t="s">
        <v>15</v>
      </c>
      <c r="AB2" s="4"/>
      <c r="AC2" s="2"/>
      <c r="AD2" s="9" t="s">
        <v>16</v>
      </c>
      <c r="AE2" s="4"/>
      <c r="AF2" s="2"/>
      <c r="AG2" s="9" t="s">
        <v>17</v>
      </c>
      <c r="AH2" s="4"/>
      <c r="AI2" s="2"/>
      <c r="AJ2" s="9" t="s">
        <v>18</v>
      </c>
      <c r="AK2" s="4"/>
      <c r="AL2" s="2"/>
    </row>
    <row r="3" ht="31.5" customHeight="1">
      <c r="A3" s="10" t="s">
        <v>19</v>
      </c>
      <c r="B3" s="10" t="s">
        <v>20</v>
      </c>
      <c r="C3" s="11" t="s">
        <v>21</v>
      </c>
      <c r="D3" s="11" t="s">
        <v>22</v>
      </c>
      <c r="E3" s="11" t="s">
        <v>23</v>
      </c>
      <c r="F3" s="11" t="s">
        <v>21</v>
      </c>
      <c r="G3" s="11" t="s">
        <v>22</v>
      </c>
      <c r="H3" s="11" t="s">
        <v>23</v>
      </c>
      <c r="I3" s="11" t="s">
        <v>21</v>
      </c>
      <c r="J3" s="11" t="s">
        <v>22</v>
      </c>
      <c r="K3" s="11" t="s">
        <v>23</v>
      </c>
      <c r="L3" s="11" t="s">
        <v>21</v>
      </c>
      <c r="M3" s="11" t="s">
        <v>22</v>
      </c>
      <c r="N3" s="11" t="s">
        <v>23</v>
      </c>
      <c r="O3" s="11" t="s">
        <v>21</v>
      </c>
      <c r="P3" s="11" t="s">
        <v>22</v>
      </c>
      <c r="Q3" s="11" t="s">
        <v>23</v>
      </c>
      <c r="R3" s="11" t="s">
        <v>21</v>
      </c>
      <c r="S3" s="11" t="s">
        <v>22</v>
      </c>
      <c r="T3" s="11" t="s">
        <v>23</v>
      </c>
      <c r="U3" s="11" t="s">
        <v>21</v>
      </c>
      <c r="V3" s="11" t="s">
        <v>22</v>
      </c>
      <c r="W3" s="11" t="s">
        <v>23</v>
      </c>
      <c r="X3" s="11" t="s">
        <v>21</v>
      </c>
      <c r="Y3" s="11" t="s">
        <v>22</v>
      </c>
      <c r="Z3" s="11" t="s">
        <v>23</v>
      </c>
      <c r="AA3" s="11" t="s">
        <v>21</v>
      </c>
      <c r="AB3" s="11" t="s">
        <v>22</v>
      </c>
      <c r="AC3" s="11" t="s">
        <v>23</v>
      </c>
      <c r="AD3" s="11" t="s">
        <v>21</v>
      </c>
      <c r="AE3" s="11" t="s">
        <v>22</v>
      </c>
      <c r="AF3" s="11" t="s">
        <v>23</v>
      </c>
      <c r="AG3" s="11" t="s">
        <v>21</v>
      </c>
      <c r="AH3" s="11" t="s">
        <v>22</v>
      </c>
      <c r="AI3" s="11" t="s">
        <v>23</v>
      </c>
      <c r="AJ3" s="11" t="s">
        <v>21</v>
      </c>
      <c r="AK3" s="11" t="s">
        <v>22</v>
      </c>
      <c r="AL3" s="11" t="s">
        <v>23</v>
      </c>
    </row>
    <row r="4" ht="19.5" customHeight="1">
      <c r="A4" s="12" t="s">
        <v>24</v>
      </c>
      <c r="B4" s="13" t="s">
        <v>25</v>
      </c>
      <c r="C4" s="14">
        <v>160.0</v>
      </c>
      <c r="D4" s="15">
        <v>128.0</v>
      </c>
      <c r="E4" s="16">
        <f t="shared" ref="E4:E33" si="1">IFERROR(IF(C4=0,"—",IF(D4="","",D4/C4)),"—")</f>
        <v>0.8</v>
      </c>
      <c r="F4" s="14">
        <v>175.0</v>
      </c>
      <c r="G4" s="15"/>
      <c r="H4" s="16" t="str">
        <f t="shared" ref="H4:H33" si="2">IFERROR(IF(F4=0,"—",IF(G4="","",G4/F4)),"—")</f>
        <v/>
      </c>
      <c r="I4" s="14">
        <v>185.0</v>
      </c>
      <c r="J4" s="15"/>
      <c r="K4" s="16" t="str">
        <f t="shared" ref="K4:K33" si="3">IFERROR(IF(I4=0,"—",IF(J4="","",J4/I4)),"—")</f>
        <v/>
      </c>
      <c r="L4" s="14">
        <v>185.0</v>
      </c>
      <c r="M4" s="15"/>
      <c r="N4" s="16" t="str">
        <f t="shared" ref="N4:N33" si="4">IFERROR(IF(L4=0,"—",IF(M4="","",M4/L4)),"—")</f>
        <v/>
      </c>
      <c r="O4" s="14">
        <v>195.0</v>
      </c>
      <c r="P4" s="15"/>
      <c r="Q4" s="16" t="str">
        <f t="shared" ref="Q4:Q33" si="5">IFERROR(IF(O4=0,"—",IF(P4="","",P4/O4)),"—")</f>
        <v/>
      </c>
      <c r="R4" s="14">
        <v>210.0</v>
      </c>
      <c r="S4" s="15"/>
      <c r="T4" s="16" t="str">
        <f t="shared" ref="T4:T33" si="6">IFERROR(IF(R4=0,"—",IF(S4="","",S4/R4)),"—")</f>
        <v/>
      </c>
      <c r="U4" s="14">
        <v>210.0</v>
      </c>
      <c r="V4" s="15"/>
      <c r="W4" s="16" t="str">
        <f t="shared" ref="W4:W33" si="7">IFERROR(IF(U4=0,"—",IF(V4="","",V4/U4)),"—")</f>
        <v/>
      </c>
      <c r="X4" s="14">
        <v>220.0</v>
      </c>
      <c r="Y4" s="15"/>
      <c r="Z4" s="16" t="str">
        <f t="shared" ref="Z4:Z33" si="8">IFERROR(IF(X4=0,"—",IF(Y4="","",Y4/X4)),"—")</f>
        <v/>
      </c>
      <c r="AA4" s="14">
        <v>235.0</v>
      </c>
      <c r="AB4" s="15"/>
      <c r="AC4" s="16" t="str">
        <f t="shared" ref="AC4:AC33" si="9">IFERROR(IF(AA4=0,"—",IF(AB4="","",AB4/AA4)),"—")</f>
        <v/>
      </c>
      <c r="AD4" s="14">
        <v>230.0</v>
      </c>
      <c r="AE4" s="15"/>
      <c r="AF4" s="16" t="str">
        <f t="shared" ref="AF4:AF33" si="10">IFERROR(IF(AD4=0,"—",IF(AE4="","",AE4/AD4)),"—")</f>
        <v/>
      </c>
      <c r="AG4" s="14">
        <v>240.0</v>
      </c>
      <c r="AH4" s="15"/>
      <c r="AI4" s="16" t="str">
        <f t="shared" ref="AI4:AI33" si="11">IFERROR(IF(AG4=0,"—",IF(AH4="","",AH4/AG4)),"—")</f>
        <v/>
      </c>
      <c r="AJ4" s="14">
        <v>250.0</v>
      </c>
      <c r="AK4" s="15"/>
      <c r="AL4" s="16" t="str">
        <f t="shared" ref="AL4:AL33" si="12">IFERROR(IF(AJ4=0,"—",IF(AK4="","",AK4/AJ4)),"—")</f>
        <v/>
      </c>
    </row>
    <row r="5" ht="19.5" customHeight="1">
      <c r="A5" s="17"/>
      <c r="B5" s="17" t="s">
        <v>26</v>
      </c>
      <c r="C5" s="14">
        <v>80.0</v>
      </c>
      <c r="D5" s="15">
        <v>99.0</v>
      </c>
      <c r="E5" s="18">
        <f t="shared" si="1"/>
        <v>1.2375</v>
      </c>
      <c r="F5" s="14">
        <v>90.0</v>
      </c>
      <c r="G5" s="15"/>
      <c r="H5" s="18" t="str">
        <f t="shared" si="2"/>
        <v/>
      </c>
      <c r="I5" s="14">
        <v>100.0</v>
      </c>
      <c r="J5" s="15"/>
      <c r="K5" s="18" t="str">
        <f t="shared" si="3"/>
        <v/>
      </c>
      <c r="L5" s="14">
        <v>100.0</v>
      </c>
      <c r="M5" s="15"/>
      <c r="N5" s="18" t="str">
        <f t="shared" si="4"/>
        <v/>
      </c>
      <c r="O5" s="14">
        <v>110.0</v>
      </c>
      <c r="P5" s="15"/>
      <c r="Q5" s="18" t="str">
        <f t="shared" si="5"/>
        <v/>
      </c>
      <c r="R5" s="14">
        <v>120.0</v>
      </c>
      <c r="S5" s="15"/>
      <c r="T5" s="18" t="str">
        <f t="shared" si="6"/>
        <v/>
      </c>
      <c r="U5" s="14">
        <v>120.0</v>
      </c>
      <c r="V5" s="15"/>
      <c r="W5" s="18" t="str">
        <f t="shared" si="7"/>
        <v/>
      </c>
      <c r="X5" s="14">
        <v>130.0</v>
      </c>
      <c r="Y5" s="15"/>
      <c r="Z5" s="18" t="str">
        <f t="shared" si="8"/>
        <v/>
      </c>
      <c r="AA5" s="14">
        <v>140.0</v>
      </c>
      <c r="AB5" s="15"/>
      <c r="AC5" s="18" t="str">
        <f t="shared" si="9"/>
        <v/>
      </c>
      <c r="AD5" s="14">
        <v>140.0</v>
      </c>
      <c r="AE5" s="15"/>
      <c r="AF5" s="18" t="str">
        <f t="shared" si="10"/>
        <v/>
      </c>
      <c r="AG5" s="14">
        <v>150.0</v>
      </c>
      <c r="AH5" s="15"/>
      <c r="AI5" s="18" t="str">
        <f t="shared" si="11"/>
        <v/>
      </c>
      <c r="AJ5" s="14">
        <v>160.0</v>
      </c>
      <c r="AK5" s="15"/>
      <c r="AL5" s="18" t="str">
        <f t="shared" si="12"/>
        <v/>
      </c>
    </row>
    <row r="6" ht="19.5" customHeight="1">
      <c r="A6" s="13"/>
      <c r="B6" s="13" t="s">
        <v>27</v>
      </c>
      <c r="C6" s="19">
        <v>16.0</v>
      </c>
      <c r="D6" s="15">
        <v>24.0</v>
      </c>
      <c r="E6" s="16">
        <f t="shared" si="1"/>
        <v>1.5</v>
      </c>
      <c r="F6" s="19">
        <v>18.0</v>
      </c>
      <c r="G6" s="15"/>
      <c r="H6" s="16" t="str">
        <f t="shared" si="2"/>
        <v/>
      </c>
      <c r="I6" s="19">
        <v>20.0</v>
      </c>
      <c r="J6" s="15"/>
      <c r="K6" s="16" t="str">
        <f t="shared" si="3"/>
        <v/>
      </c>
      <c r="L6" s="19">
        <v>22.0</v>
      </c>
      <c r="M6" s="15"/>
      <c r="N6" s="16" t="str">
        <f t="shared" si="4"/>
        <v/>
      </c>
      <c r="O6" s="19">
        <v>24.0</v>
      </c>
      <c r="P6" s="15"/>
      <c r="Q6" s="16" t="str">
        <f t="shared" si="5"/>
        <v/>
      </c>
      <c r="R6" s="19">
        <v>26.0</v>
      </c>
      <c r="S6" s="15"/>
      <c r="T6" s="16" t="str">
        <f t="shared" si="6"/>
        <v/>
      </c>
      <c r="U6" s="19">
        <v>26.0</v>
      </c>
      <c r="V6" s="15"/>
      <c r="W6" s="16" t="str">
        <f t="shared" si="7"/>
        <v/>
      </c>
      <c r="X6" s="19">
        <v>28.0</v>
      </c>
      <c r="Y6" s="15"/>
      <c r="Z6" s="16" t="str">
        <f t="shared" si="8"/>
        <v/>
      </c>
      <c r="AA6" s="19">
        <v>30.0</v>
      </c>
      <c r="AB6" s="15"/>
      <c r="AC6" s="16" t="str">
        <f t="shared" si="9"/>
        <v/>
      </c>
      <c r="AD6" s="19">
        <v>32.0</v>
      </c>
      <c r="AE6" s="15"/>
      <c r="AF6" s="16" t="str">
        <f t="shared" si="10"/>
        <v/>
      </c>
      <c r="AG6" s="19">
        <v>34.0</v>
      </c>
      <c r="AH6" s="15"/>
      <c r="AI6" s="16" t="str">
        <f t="shared" si="11"/>
        <v/>
      </c>
      <c r="AJ6" s="19">
        <v>36.0</v>
      </c>
      <c r="AK6" s="15"/>
      <c r="AL6" s="16" t="str">
        <f t="shared" si="12"/>
        <v/>
      </c>
    </row>
    <row r="7" ht="19.5" customHeight="1">
      <c r="A7" s="17"/>
      <c r="B7" s="17" t="s">
        <v>28</v>
      </c>
      <c r="C7" s="14">
        <v>4.0</v>
      </c>
      <c r="D7" s="15">
        <v>5.0</v>
      </c>
      <c r="E7" s="18">
        <f t="shared" si="1"/>
        <v>1.25</v>
      </c>
      <c r="F7" s="14">
        <v>6.0</v>
      </c>
      <c r="G7" s="15"/>
      <c r="H7" s="18" t="str">
        <f t="shared" si="2"/>
        <v/>
      </c>
      <c r="I7" s="14">
        <v>7.0</v>
      </c>
      <c r="J7" s="15"/>
      <c r="K7" s="18" t="str">
        <f t="shared" si="3"/>
        <v/>
      </c>
      <c r="L7" s="14">
        <v>8.0</v>
      </c>
      <c r="M7" s="15"/>
      <c r="N7" s="18" t="str">
        <f t="shared" si="4"/>
        <v/>
      </c>
      <c r="O7" s="14">
        <v>9.0</v>
      </c>
      <c r="P7" s="15"/>
      <c r="Q7" s="18" t="str">
        <f t="shared" si="5"/>
        <v/>
      </c>
      <c r="R7" s="14">
        <v>10.0</v>
      </c>
      <c r="S7" s="15"/>
      <c r="T7" s="18" t="str">
        <f t="shared" si="6"/>
        <v/>
      </c>
      <c r="U7" s="14">
        <v>10.0</v>
      </c>
      <c r="V7" s="15"/>
      <c r="W7" s="18" t="str">
        <f t="shared" si="7"/>
        <v/>
      </c>
      <c r="X7" s="14">
        <v>10.0</v>
      </c>
      <c r="Y7" s="15"/>
      <c r="Z7" s="18" t="str">
        <f t="shared" si="8"/>
        <v/>
      </c>
      <c r="AA7" s="14">
        <v>11.0</v>
      </c>
      <c r="AB7" s="15"/>
      <c r="AC7" s="18" t="str">
        <f t="shared" si="9"/>
        <v/>
      </c>
      <c r="AD7" s="14">
        <v>12.0</v>
      </c>
      <c r="AE7" s="15"/>
      <c r="AF7" s="18" t="str">
        <f t="shared" si="10"/>
        <v/>
      </c>
      <c r="AG7" s="14">
        <v>13.0</v>
      </c>
      <c r="AH7" s="15"/>
      <c r="AI7" s="18" t="str">
        <f t="shared" si="11"/>
        <v/>
      </c>
      <c r="AJ7" s="14">
        <v>14.0</v>
      </c>
      <c r="AK7" s="15"/>
      <c r="AL7" s="18" t="str">
        <f t="shared" si="12"/>
        <v/>
      </c>
    </row>
    <row r="8" ht="19.5" customHeight="1">
      <c r="A8" s="13"/>
      <c r="B8" s="13" t="s">
        <v>29</v>
      </c>
      <c r="C8" s="19">
        <v>4.0</v>
      </c>
      <c r="D8" s="15">
        <v>5.0</v>
      </c>
      <c r="E8" s="16">
        <f t="shared" si="1"/>
        <v>1.25</v>
      </c>
      <c r="F8" s="19">
        <v>10.0</v>
      </c>
      <c r="G8" s="15"/>
      <c r="H8" s="16" t="str">
        <f t="shared" si="2"/>
        <v/>
      </c>
      <c r="I8" s="19">
        <v>17.0</v>
      </c>
      <c r="J8" s="15"/>
      <c r="K8" s="16" t="str">
        <f t="shared" si="3"/>
        <v/>
      </c>
      <c r="L8" s="19">
        <v>25.0</v>
      </c>
      <c r="M8" s="15"/>
      <c r="N8" s="16" t="str">
        <f t="shared" si="4"/>
        <v/>
      </c>
      <c r="O8" s="19">
        <v>34.0</v>
      </c>
      <c r="P8" s="15"/>
      <c r="Q8" s="16" t="str">
        <f t="shared" si="5"/>
        <v/>
      </c>
      <c r="R8" s="19">
        <v>44.0</v>
      </c>
      <c r="S8" s="15"/>
      <c r="T8" s="16" t="str">
        <f t="shared" si="6"/>
        <v/>
      </c>
      <c r="U8" s="19">
        <v>54.0</v>
      </c>
      <c r="V8" s="15"/>
      <c r="W8" s="16" t="str">
        <f t="shared" si="7"/>
        <v/>
      </c>
      <c r="X8" s="19">
        <v>64.0</v>
      </c>
      <c r="Y8" s="15"/>
      <c r="Z8" s="16" t="str">
        <f t="shared" si="8"/>
        <v/>
      </c>
      <c r="AA8" s="19">
        <v>75.0</v>
      </c>
      <c r="AB8" s="15"/>
      <c r="AC8" s="16" t="str">
        <f t="shared" si="9"/>
        <v/>
      </c>
      <c r="AD8" s="19">
        <v>86.0</v>
      </c>
      <c r="AE8" s="15"/>
      <c r="AF8" s="16" t="str">
        <f t="shared" si="10"/>
        <v/>
      </c>
      <c r="AG8" s="19">
        <v>98.0</v>
      </c>
      <c r="AH8" s="15"/>
      <c r="AI8" s="16" t="str">
        <f t="shared" si="11"/>
        <v/>
      </c>
      <c r="AJ8" s="19">
        <v>111.0</v>
      </c>
      <c r="AK8" s="15"/>
      <c r="AL8" s="16" t="str">
        <f t="shared" si="12"/>
        <v/>
      </c>
    </row>
    <row r="9" ht="19.5" customHeight="1">
      <c r="A9" s="17"/>
      <c r="B9" s="17" t="s">
        <v>30</v>
      </c>
      <c r="C9" s="20">
        <v>0.5</v>
      </c>
      <c r="D9" s="21">
        <v>0.773</v>
      </c>
      <c r="E9" s="18">
        <f t="shared" si="1"/>
        <v>1.546</v>
      </c>
      <c r="F9" s="20">
        <v>0.52</v>
      </c>
      <c r="G9" s="21"/>
      <c r="H9" s="18" t="str">
        <f t="shared" si="2"/>
        <v/>
      </c>
      <c r="I9" s="20">
        <v>0.55</v>
      </c>
      <c r="J9" s="21"/>
      <c r="K9" s="18" t="str">
        <f t="shared" si="3"/>
        <v/>
      </c>
      <c r="L9" s="20">
        <v>0.55</v>
      </c>
      <c r="M9" s="21"/>
      <c r="N9" s="18" t="str">
        <f t="shared" si="4"/>
        <v/>
      </c>
      <c r="O9" s="20">
        <v>0.57</v>
      </c>
      <c r="P9" s="21"/>
      <c r="Q9" s="18" t="str">
        <f t="shared" si="5"/>
        <v/>
      </c>
      <c r="R9" s="20">
        <v>0.58</v>
      </c>
      <c r="S9" s="21"/>
      <c r="T9" s="18" t="str">
        <f t="shared" si="6"/>
        <v/>
      </c>
      <c r="U9" s="20">
        <v>0.58</v>
      </c>
      <c r="V9" s="21"/>
      <c r="W9" s="18" t="str">
        <f t="shared" si="7"/>
        <v/>
      </c>
      <c r="X9" s="20">
        <v>0.6</v>
      </c>
      <c r="Y9" s="21"/>
      <c r="Z9" s="18" t="str">
        <f t="shared" si="8"/>
        <v/>
      </c>
      <c r="AA9" s="20">
        <v>0.6</v>
      </c>
      <c r="AB9" s="21"/>
      <c r="AC9" s="18" t="str">
        <f t="shared" si="9"/>
        <v/>
      </c>
      <c r="AD9" s="20">
        <v>0.62</v>
      </c>
      <c r="AE9" s="21"/>
      <c r="AF9" s="18" t="str">
        <f t="shared" si="10"/>
        <v/>
      </c>
      <c r="AG9" s="20">
        <v>0.63</v>
      </c>
      <c r="AH9" s="21"/>
      <c r="AI9" s="18" t="str">
        <f t="shared" si="11"/>
        <v/>
      </c>
      <c r="AJ9" s="20">
        <v>0.65</v>
      </c>
      <c r="AK9" s="21"/>
      <c r="AL9" s="18" t="str">
        <f t="shared" si="12"/>
        <v/>
      </c>
    </row>
    <row r="10" ht="19.5" customHeight="1">
      <c r="A10" s="13"/>
      <c r="B10" s="13" t="s">
        <v>31</v>
      </c>
      <c r="C10" s="22">
        <v>0.2</v>
      </c>
      <c r="D10" s="21">
        <v>0.242</v>
      </c>
      <c r="E10" s="16">
        <f t="shared" si="1"/>
        <v>1.21</v>
      </c>
      <c r="F10" s="22">
        <v>0.2</v>
      </c>
      <c r="G10" s="21"/>
      <c r="H10" s="16" t="str">
        <f t="shared" si="2"/>
        <v/>
      </c>
      <c r="I10" s="22">
        <v>0.22</v>
      </c>
      <c r="J10" s="21"/>
      <c r="K10" s="16" t="str">
        <f t="shared" si="3"/>
        <v/>
      </c>
      <c r="L10" s="22">
        <v>0.22</v>
      </c>
      <c r="M10" s="21"/>
      <c r="N10" s="16" t="str">
        <f t="shared" si="4"/>
        <v/>
      </c>
      <c r="O10" s="22">
        <v>0.22</v>
      </c>
      <c r="P10" s="21"/>
      <c r="Q10" s="16" t="str">
        <f t="shared" si="5"/>
        <v/>
      </c>
      <c r="R10" s="22">
        <v>0.22</v>
      </c>
      <c r="S10" s="21"/>
      <c r="T10" s="16" t="str">
        <f t="shared" si="6"/>
        <v/>
      </c>
      <c r="U10" s="22">
        <v>0.22</v>
      </c>
      <c r="V10" s="21"/>
      <c r="W10" s="16" t="str">
        <f t="shared" si="7"/>
        <v/>
      </c>
      <c r="X10" s="22">
        <v>0.22</v>
      </c>
      <c r="Y10" s="21"/>
      <c r="Z10" s="16" t="str">
        <f t="shared" si="8"/>
        <v/>
      </c>
      <c r="AA10" s="22">
        <v>0.22</v>
      </c>
      <c r="AB10" s="21"/>
      <c r="AC10" s="16" t="str">
        <f t="shared" si="9"/>
        <v/>
      </c>
      <c r="AD10" s="22">
        <v>0.23</v>
      </c>
      <c r="AE10" s="21"/>
      <c r="AF10" s="16" t="str">
        <f t="shared" si="10"/>
        <v/>
      </c>
      <c r="AG10" s="22">
        <v>0.23</v>
      </c>
      <c r="AH10" s="21"/>
      <c r="AI10" s="16" t="str">
        <f t="shared" si="11"/>
        <v/>
      </c>
      <c r="AJ10" s="22">
        <v>0.23</v>
      </c>
      <c r="AK10" s="21"/>
      <c r="AL10" s="16" t="str">
        <f t="shared" si="12"/>
        <v/>
      </c>
    </row>
    <row r="11" ht="19.5" customHeight="1">
      <c r="A11" s="17"/>
      <c r="B11" s="17" t="s">
        <v>32</v>
      </c>
      <c r="C11" s="20">
        <v>0.25</v>
      </c>
      <c r="D11" s="21">
        <v>0.208</v>
      </c>
      <c r="E11" s="18">
        <f t="shared" si="1"/>
        <v>0.832</v>
      </c>
      <c r="F11" s="20">
        <v>0.27</v>
      </c>
      <c r="G11" s="21"/>
      <c r="H11" s="18" t="str">
        <f t="shared" si="2"/>
        <v/>
      </c>
      <c r="I11" s="20">
        <v>0.28</v>
      </c>
      <c r="J11" s="21"/>
      <c r="K11" s="18" t="str">
        <f t="shared" si="3"/>
        <v/>
      </c>
      <c r="L11" s="20">
        <v>0.3</v>
      </c>
      <c r="M11" s="21"/>
      <c r="N11" s="18" t="str">
        <f t="shared" si="4"/>
        <v/>
      </c>
      <c r="O11" s="20">
        <v>0.3</v>
      </c>
      <c r="P11" s="21"/>
      <c r="Q11" s="18" t="str">
        <f t="shared" si="5"/>
        <v/>
      </c>
      <c r="R11" s="20">
        <v>0.33</v>
      </c>
      <c r="S11" s="21"/>
      <c r="T11" s="18" t="str">
        <f t="shared" si="6"/>
        <v/>
      </c>
      <c r="U11" s="20">
        <v>0.33</v>
      </c>
      <c r="V11" s="21"/>
      <c r="W11" s="18" t="str">
        <f t="shared" si="7"/>
        <v/>
      </c>
      <c r="X11" s="20">
        <v>0.35</v>
      </c>
      <c r="Y11" s="21"/>
      <c r="Z11" s="18" t="str">
        <f t="shared" si="8"/>
        <v/>
      </c>
      <c r="AA11" s="20">
        <v>0.35</v>
      </c>
      <c r="AB11" s="21"/>
      <c r="AC11" s="18" t="str">
        <f t="shared" si="9"/>
        <v/>
      </c>
      <c r="AD11" s="20">
        <v>0.37</v>
      </c>
      <c r="AE11" s="21"/>
      <c r="AF11" s="18" t="str">
        <f t="shared" si="10"/>
        <v/>
      </c>
      <c r="AG11" s="20">
        <v>0.38</v>
      </c>
      <c r="AH11" s="21"/>
      <c r="AI11" s="18" t="str">
        <f t="shared" si="11"/>
        <v/>
      </c>
      <c r="AJ11" s="20">
        <v>0.4</v>
      </c>
      <c r="AK11" s="21"/>
      <c r="AL11" s="18" t="str">
        <f t="shared" si="12"/>
        <v/>
      </c>
    </row>
    <row r="12" ht="19.5" customHeight="1">
      <c r="A12" s="12" t="s">
        <v>33</v>
      </c>
      <c r="B12" s="13" t="s">
        <v>34</v>
      </c>
      <c r="C12" s="23">
        <v>380.0</v>
      </c>
      <c r="D12" s="24">
        <v>267.0</v>
      </c>
      <c r="E12" s="16">
        <f t="shared" si="1"/>
        <v>0.7026315789</v>
      </c>
      <c r="F12" s="23">
        <v>370.0</v>
      </c>
      <c r="G12" s="24"/>
      <c r="H12" s="16" t="str">
        <f t="shared" si="2"/>
        <v/>
      </c>
      <c r="I12" s="23">
        <v>360.0</v>
      </c>
      <c r="J12" s="24"/>
      <c r="K12" s="16" t="str">
        <f t="shared" si="3"/>
        <v/>
      </c>
      <c r="L12" s="23">
        <v>320.0</v>
      </c>
      <c r="M12" s="24"/>
      <c r="N12" s="16" t="str">
        <f t="shared" si="4"/>
        <v/>
      </c>
      <c r="O12" s="23">
        <v>310.0</v>
      </c>
      <c r="P12" s="24"/>
      <c r="Q12" s="16" t="str">
        <f t="shared" si="5"/>
        <v/>
      </c>
      <c r="R12" s="23">
        <v>295.0</v>
      </c>
      <c r="S12" s="24"/>
      <c r="T12" s="16" t="str">
        <f t="shared" si="6"/>
        <v/>
      </c>
      <c r="U12" s="23">
        <v>270.0</v>
      </c>
      <c r="V12" s="24"/>
      <c r="W12" s="16" t="str">
        <f t="shared" si="7"/>
        <v/>
      </c>
      <c r="X12" s="23">
        <v>255.0</v>
      </c>
      <c r="Y12" s="24"/>
      <c r="Z12" s="16" t="str">
        <f t="shared" si="8"/>
        <v/>
      </c>
      <c r="AA12" s="23">
        <v>245.0</v>
      </c>
      <c r="AB12" s="24"/>
      <c r="AC12" s="16" t="str">
        <f t="shared" si="9"/>
        <v/>
      </c>
      <c r="AD12" s="23">
        <v>235.0</v>
      </c>
      <c r="AE12" s="24"/>
      <c r="AF12" s="16" t="str">
        <f t="shared" si="10"/>
        <v/>
      </c>
      <c r="AG12" s="23">
        <v>225.0</v>
      </c>
      <c r="AH12" s="24"/>
      <c r="AI12" s="16" t="str">
        <f t="shared" si="11"/>
        <v/>
      </c>
      <c r="AJ12" s="23">
        <v>215.0</v>
      </c>
      <c r="AK12" s="24"/>
      <c r="AL12" s="16" t="str">
        <f t="shared" si="12"/>
        <v/>
      </c>
    </row>
    <row r="13" ht="19.5" customHeight="1">
      <c r="A13" s="17"/>
      <c r="B13" s="17" t="s">
        <v>35</v>
      </c>
      <c r="C13" s="25">
        <v>35.0</v>
      </c>
      <c r="D13" s="24">
        <v>10.4</v>
      </c>
      <c r="E13" s="18">
        <f t="shared" si="1"/>
        <v>0.2971428571</v>
      </c>
      <c r="F13" s="25">
        <v>33.0</v>
      </c>
      <c r="G13" s="24"/>
      <c r="H13" s="18" t="str">
        <f t="shared" si="2"/>
        <v/>
      </c>
      <c r="I13" s="25">
        <v>31.0</v>
      </c>
      <c r="J13" s="24"/>
      <c r="K13" s="18" t="str">
        <f t="shared" si="3"/>
        <v/>
      </c>
      <c r="L13" s="25">
        <v>30.0</v>
      </c>
      <c r="M13" s="24"/>
      <c r="N13" s="18" t="str">
        <f t="shared" si="4"/>
        <v/>
      </c>
      <c r="O13" s="25">
        <v>28.0</v>
      </c>
      <c r="P13" s="24"/>
      <c r="Q13" s="18" t="str">
        <f t="shared" si="5"/>
        <v/>
      </c>
      <c r="R13" s="25">
        <v>27.0</v>
      </c>
      <c r="S13" s="24"/>
      <c r="T13" s="18" t="str">
        <f t="shared" si="6"/>
        <v/>
      </c>
      <c r="U13" s="25">
        <v>26.0</v>
      </c>
      <c r="V13" s="24"/>
      <c r="W13" s="18" t="str">
        <f t="shared" si="7"/>
        <v/>
      </c>
      <c r="X13" s="25">
        <v>25.0</v>
      </c>
      <c r="Y13" s="24"/>
      <c r="Z13" s="18" t="str">
        <f t="shared" si="8"/>
        <v/>
      </c>
      <c r="AA13" s="25">
        <v>24.0</v>
      </c>
      <c r="AB13" s="24"/>
      <c r="AC13" s="18" t="str">
        <f t="shared" si="9"/>
        <v/>
      </c>
      <c r="AD13" s="25">
        <v>23.0</v>
      </c>
      <c r="AE13" s="24"/>
      <c r="AF13" s="18" t="str">
        <f t="shared" si="10"/>
        <v/>
      </c>
      <c r="AG13" s="25">
        <v>22.0</v>
      </c>
      <c r="AH13" s="24"/>
      <c r="AI13" s="18" t="str">
        <f t="shared" si="11"/>
        <v/>
      </c>
      <c r="AJ13" s="25">
        <v>20.0</v>
      </c>
      <c r="AK13" s="24"/>
      <c r="AL13" s="18" t="str">
        <f t="shared" si="12"/>
        <v/>
      </c>
    </row>
    <row r="14" ht="19.5" customHeight="1">
      <c r="A14" s="13"/>
      <c r="B14" s="13" t="s">
        <v>36</v>
      </c>
      <c r="C14" s="23">
        <v>1500.0</v>
      </c>
      <c r="D14" s="24">
        <v>1336.77</v>
      </c>
      <c r="E14" s="16">
        <f t="shared" si="1"/>
        <v>0.89118</v>
      </c>
      <c r="F14" s="23">
        <v>1500.0</v>
      </c>
      <c r="G14" s="24"/>
      <c r="H14" s="16" t="str">
        <f t="shared" si="2"/>
        <v/>
      </c>
      <c r="I14" s="23">
        <v>1500.0</v>
      </c>
      <c r="J14" s="24"/>
      <c r="K14" s="16" t="str">
        <f t="shared" si="3"/>
        <v/>
      </c>
      <c r="L14" s="23">
        <v>1750.0</v>
      </c>
      <c r="M14" s="24"/>
      <c r="N14" s="16" t="str">
        <f t="shared" si="4"/>
        <v/>
      </c>
      <c r="O14" s="23">
        <v>1750.0</v>
      </c>
      <c r="P14" s="24"/>
      <c r="Q14" s="16" t="str">
        <f t="shared" si="5"/>
        <v/>
      </c>
      <c r="R14" s="23">
        <v>1750.0</v>
      </c>
      <c r="S14" s="24"/>
      <c r="T14" s="16" t="str">
        <f t="shared" si="6"/>
        <v/>
      </c>
      <c r="U14" s="23">
        <v>2000.0</v>
      </c>
      <c r="V14" s="24"/>
      <c r="W14" s="16" t="str">
        <f t="shared" si="7"/>
        <v/>
      </c>
      <c r="X14" s="23">
        <v>2000.0</v>
      </c>
      <c r="Y14" s="24"/>
      <c r="Z14" s="16" t="str">
        <f t="shared" si="8"/>
        <v/>
      </c>
      <c r="AA14" s="23">
        <v>2000.0</v>
      </c>
      <c r="AB14" s="24"/>
      <c r="AC14" s="16" t="str">
        <f t="shared" si="9"/>
        <v/>
      </c>
      <c r="AD14" s="23">
        <v>2250.0</v>
      </c>
      <c r="AE14" s="24"/>
      <c r="AF14" s="16" t="str">
        <f t="shared" si="10"/>
        <v/>
      </c>
      <c r="AG14" s="23">
        <v>2250.0</v>
      </c>
      <c r="AH14" s="24"/>
      <c r="AI14" s="16" t="str">
        <f t="shared" si="11"/>
        <v/>
      </c>
      <c r="AJ14" s="23">
        <v>2250.0</v>
      </c>
      <c r="AK14" s="24"/>
      <c r="AL14" s="16" t="str">
        <f t="shared" si="12"/>
        <v/>
      </c>
    </row>
    <row r="15" ht="19.5" customHeight="1">
      <c r="A15" s="17"/>
      <c r="B15" s="17" t="s">
        <v>37</v>
      </c>
      <c r="C15" s="26"/>
      <c r="D15" s="15"/>
      <c r="E15" s="18" t="str">
        <f t="shared" si="1"/>
        <v>—</v>
      </c>
      <c r="F15" s="26"/>
      <c r="G15" s="15"/>
      <c r="H15" s="18" t="str">
        <f t="shared" si="2"/>
        <v>—</v>
      </c>
      <c r="I15" s="26"/>
      <c r="J15" s="15"/>
      <c r="K15" s="18" t="str">
        <f t="shared" si="3"/>
        <v>—</v>
      </c>
      <c r="L15" s="27"/>
      <c r="M15" s="15"/>
      <c r="N15" s="18" t="str">
        <f t="shared" si="4"/>
        <v>—</v>
      </c>
      <c r="O15" s="26"/>
      <c r="P15" s="15"/>
      <c r="Q15" s="18" t="str">
        <f t="shared" si="5"/>
        <v>—</v>
      </c>
      <c r="R15" s="14">
        <v>3.5</v>
      </c>
      <c r="S15" s="15"/>
      <c r="T15" s="18" t="str">
        <f t="shared" si="6"/>
        <v/>
      </c>
      <c r="U15" s="26"/>
      <c r="V15" s="15"/>
      <c r="W15" s="18" t="str">
        <f t="shared" si="7"/>
        <v>—</v>
      </c>
      <c r="X15" s="26"/>
      <c r="Y15" s="15"/>
      <c r="Z15" s="18" t="str">
        <f t="shared" si="8"/>
        <v>—</v>
      </c>
      <c r="AA15" s="14">
        <v>4.0</v>
      </c>
      <c r="AB15" s="15"/>
      <c r="AC15" s="18" t="str">
        <f t="shared" si="9"/>
        <v/>
      </c>
      <c r="AD15" s="26"/>
      <c r="AE15" s="15"/>
      <c r="AF15" s="18" t="str">
        <f t="shared" si="10"/>
        <v>—</v>
      </c>
      <c r="AG15" s="26"/>
      <c r="AH15" s="15"/>
      <c r="AI15" s="18" t="str">
        <f t="shared" si="11"/>
        <v>—</v>
      </c>
      <c r="AJ15" s="14">
        <v>4.5</v>
      </c>
      <c r="AK15" s="15"/>
      <c r="AL15" s="18" t="str">
        <f t="shared" si="12"/>
        <v/>
      </c>
    </row>
    <row r="16" ht="19.5" customHeight="1">
      <c r="A16" s="12" t="s">
        <v>38</v>
      </c>
      <c r="B16" s="13" t="s">
        <v>39</v>
      </c>
      <c r="C16" s="22">
        <v>0.015</v>
      </c>
      <c r="D16" s="21">
        <v>0.0874</v>
      </c>
      <c r="E16" s="16">
        <f t="shared" si="1"/>
        <v>5.826666667</v>
      </c>
      <c r="F16" s="22">
        <v>0.017</v>
      </c>
      <c r="G16" s="21"/>
      <c r="H16" s="16" t="str">
        <f t="shared" si="2"/>
        <v/>
      </c>
      <c r="I16" s="22">
        <v>0.018</v>
      </c>
      <c r="J16" s="21"/>
      <c r="K16" s="16" t="str">
        <f t="shared" si="3"/>
        <v/>
      </c>
      <c r="L16" s="22">
        <v>0.02</v>
      </c>
      <c r="M16" s="21"/>
      <c r="N16" s="16" t="str">
        <f t="shared" si="4"/>
        <v/>
      </c>
      <c r="O16" s="22">
        <v>0.022</v>
      </c>
      <c r="P16" s="21"/>
      <c r="Q16" s="16" t="str">
        <f t="shared" si="5"/>
        <v/>
      </c>
      <c r="R16" s="22">
        <v>0.025</v>
      </c>
      <c r="S16" s="21"/>
      <c r="T16" s="16" t="str">
        <f t="shared" si="6"/>
        <v/>
      </c>
      <c r="U16" s="22">
        <v>0.025</v>
      </c>
      <c r="V16" s="21"/>
      <c r="W16" s="16" t="str">
        <f t="shared" si="7"/>
        <v/>
      </c>
      <c r="X16" s="22">
        <v>0.027</v>
      </c>
      <c r="Y16" s="21"/>
      <c r="Z16" s="16" t="str">
        <f t="shared" si="8"/>
        <v/>
      </c>
      <c r="AA16" s="22">
        <v>0.028</v>
      </c>
      <c r="AB16" s="21"/>
      <c r="AC16" s="16" t="str">
        <f t="shared" si="9"/>
        <v/>
      </c>
      <c r="AD16" s="22">
        <v>0.028</v>
      </c>
      <c r="AE16" s="21"/>
      <c r="AF16" s="16" t="str">
        <f t="shared" si="10"/>
        <v/>
      </c>
      <c r="AG16" s="22">
        <v>0.029</v>
      </c>
      <c r="AH16" s="21"/>
      <c r="AI16" s="16" t="str">
        <f t="shared" si="11"/>
        <v/>
      </c>
      <c r="AJ16" s="22">
        <v>0.03</v>
      </c>
      <c r="AK16" s="21"/>
      <c r="AL16" s="16" t="str">
        <f t="shared" si="12"/>
        <v/>
      </c>
    </row>
    <row r="17" ht="19.5" customHeight="1">
      <c r="A17" s="17"/>
      <c r="B17" s="17" t="s">
        <v>40</v>
      </c>
      <c r="C17" s="14">
        <v>200.0</v>
      </c>
      <c r="D17" s="15">
        <v>3.0</v>
      </c>
      <c r="E17" s="18">
        <f t="shared" si="1"/>
        <v>0.015</v>
      </c>
      <c r="F17" s="14">
        <v>220.0</v>
      </c>
      <c r="G17" s="15"/>
      <c r="H17" s="18" t="str">
        <f t="shared" si="2"/>
        <v/>
      </c>
      <c r="I17" s="14">
        <v>240.0</v>
      </c>
      <c r="J17" s="15"/>
      <c r="K17" s="18" t="str">
        <f t="shared" si="3"/>
        <v/>
      </c>
      <c r="L17" s="14">
        <v>260.0</v>
      </c>
      <c r="M17" s="15"/>
      <c r="N17" s="18" t="str">
        <f t="shared" si="4"/>
        <v/>
      </c>
      <c r="O17" s="14">
        <v>280.0</v>
      </c>
      <c r="P17" s="15"/>
      <c r="Q17" s="18" t="str">
        <f t="shared" si="5"/>
        <v/>
      </c>
      <c r="R17" s="14">
        <v>300.0</v>
      </c>
      <c r="S17" s="15"/>
      <c r="T17" s="18" t="str">
        <f t="shared" si="6"/>
        <v/>
      </c>
      <c r="U17" s="14">
        <v>320.0</v>
      </c>
      <c r="V17" s="15"/>
      <c r="W17" s="18" t="str">
        <f t="shared" si="7"/>
        <v/>
      </c>
      <c r="X17" s="14">
        <v>340.0</v>
      </c>
      <c r="Y17" s="15"/>
      <c r="Z17" s="18" t="str">
        <f t="shared" si="8"/>
        <v/>
      </c>
      <c r="AA17" s="14">
        <v>360.0</v>
      </c>
      <c r="AB17" s="15"/>
      <c r="AC17" s="18" t="str">
        <f t="shared" si="9"/>
        <v/>
      </c>
      <c r="AD17" s="14">
        <v>380.0</v>
      </c>
      <c r="AE17" s="15"/>
      <c r="AF17" s="18" t="str">
        <f t="shared" si="10"/>
        <v/>
      </c>
      <c r="AG17" s="14">
        <v>400.0</v>
      </c>
      <c r="AH17" s="15"/>
      <c r="AI17" s="18" t="str">
        <f t="shared" si="11"/>
        <v/>
      </c>
      <c r="AJ17" s="14">
        <v>420.0</v>
      </c>
      <c r="AK17" s="15"/>
      <c r="AL17" s="18" t="str">
        <f t="shared" si="12"/>
        <v/>
      </c>
    </row>
    <row r="18" ht="19.5" customHeight="1">
      <c r="A18" s="13"/>
      <c r="B18" s="13" t="s">
        <v>41</v>
      </c>
      <c r="C18" s="19">
        <v>50.0</v>
      </c>
      <c r="D18" s="15">
        <v>20.0</v>
      </c>
      <c r="E18" s="16">
        <f t="shared" si="1"/>
        <v>0.4</v>
      </c>
      <c r="F18" s="19">
        <v>70.0</v>
      </c>
      <c r="G18" s="15"/>
      <c r="H18" s="16" t="str">
        <f t="shared" si="2"/>
        <v/>
      </c>
      <c r="I18" s="19">
        <v>90.0</v>
      </c>
      <c r="J18" s="15"/>
      <c r="K18" s="16" t="str">
        <f t="shared" si="3"/>
        <v/>
      </c>
      <c r="L18" s="19">
        <v>100.0</v>
      </c>
      <c r="M18" s="15"/>
      <c r="N18" s="16" t="str">
        <f t="shared" si="4"/>
        <v/>
      </c>
      <c r="O18" s="19">
        <v>120.0</v>
      </c>
      <c r="P18" s="15"/>
      <c r="Q18" s="16" t="str">
        <f t="shared" si="5"/>
        <v/>
      </c>
      <c r="R18" s="19">
        <v>150.0</v>
      </c>
      <c r="S18" s="15"/>
      <c r="T18" s="16" t="str">
        <f t="shared" si="6"/>
        <v/>
      </c>
      <c r="U18" s="19">
        <v>150.0</v>
      </c>
      <c r="V18" s="15"/>
      <c r="W18" s="16" t="str">
        <f t="shared" si="7"/>
        <v/>
      </c>
      <c r="X18" s="19">
        <v>180.0</v>
      </c>
      <c r="Y18" s="15"/>
      <c r="Z18" s="16" t="str">
        <f t="shared" si="8"/>
        <v/>
      </c>
      <c r="AA18" s="19">
        <v>200.0</v>
      </c>
      <c r="AB18" s="15"/>
      <c r="AC18" s="16" t="str">
        <f t="shared" si="9"/>
        <v/>
      </c>
      <c r="AD18" s="19">
        <v>220.0</v>
      </c>
      <c r="AE18" s="15"/>
      <c r="AF18" s="16" t="str">
        <f t="shared" si="10"/>
        <v/>
      </c>
      <c r="AG18" s="19">
        <v>250.0</v>
      </c>
      <c r="AH18" s="15"/>
      <c r="AI18" s="16" t="str">
        <f t="shared" si="11"/>
        <v/>
      </c>
      <c r="AJ18" s="19">
        <v>280.0</v>
      </c>
      <c r="AK18" s="15"/>
      <c r="AL18" s="16" t="str">
        <f t="shared" si="12"/>
        <v/>
      </c>
    </row>
    <row r="19" ht="19.5" customHeight="1">
      <c r="A19" s="17"/>
      <c r="B19" s="17" t="s">
        <v>42</v>
      </c>
      <c r="C19" s="26"/>
      <c r="D19" s="15">
        <v>0.0</v>
      </c>
      <c r="E19" s="18" t="str">
        <f t="shared" si="1"/>
        <v>—</v>
      </c>
      <c r="F19" s="14">
        <v>30.0</v>
      </c>
      <c r="G19" s="15"/>
      <c r="H19" s="18" t="str">
        <f t="shared" si="2"/>
        <v/>
      </c>
      <c r="I19" s="14">
        <v>50.0</v>
      </c>
      <c r="J19" s="15"/>
      <c r="K19" s="18" t="str">
        <f t="shared" si="3"/>
        <v/>
      </c>
      <c r="L19" s="14">
        <v>60.0</v>
      </c>
      <c r="M19" s="15"/>
      <c r="N19" s="18" t="str">
        <f t="shared" si="4"/>
        <v/>
      </c>
      <c r="O19" s="14">
        <v>80.0</v>
      </c>
      <c r="P19" s="15"/>
      <c r="Q19" s="18" t="str">
        <f t="shared" si="5"/>
        <v/>
      </c>
      <c r="R19" s="14">
        <v>100.0</v>
      </c>
      <c r="S19" s="15"/>
      <c r="T19" s="18" t="str">
        <f t="shared" si="6"/>
        <v/>
      </c>
      <c r="U19" s="14">
        <v>100.0</v>
      </c>
      <c r="V19" s="15"/>
      <c r="W19" s="18" t="str">
        <f t="shared" si="7"/>
        <v/>
      </c>
      <c r="X19" s="14">
        <v>120.0</v>
      </c>
      <c r="Y19" s="15"/>
      <c r="Z19" s="18" t="str">
        <f t="shared" si="8"/>
        <v/>
      </c>
      <c r="AA19" s="14">
        <v>140.0</v>
      </c>
      <c r="AB19" s="15"/>
      <c r="AC19" s="18" t="str">
        <f t="shared" si="9"/>
        <v/>
      </c>
      <c r="AD19" s="14">
        <v>140.0</v>
      </c>
      <c r="AE19" s="15"/>
      <c r="AF19" s="18" t="str">
        <f t="shared" si="10"/>
        <v/>
      </c>
      <c r="AG19" s="14">
        <v>160.0</v>
      </c>
      <c r="AH19" s="15"/>
      <c r="AI19" s="18" t="str">
        <f t="shared" si="11"/>
        <v/>
      </c>
      <c r="AJ19" s="14">
        <v>200.0</v>
      </c>
      <c r="AK19" s="15"/>
      <c r="AL19" s="18" t="str">
        <f t="shared" si="12"/>
        <v/>
      </c>
    </row>
    <row r="20" ht="19.5" hidden="1" customHeight="1">
      <c r="A20" s="12" t="s">
        <v>43</v>
      </c>
      <c r="B20" s="13" t="s">
        <v>44</v>
      </c>
      <c r="C20" s="28"/>
      <c r="D20" s="21"/>
      <c r="E20" s="16" t="str">
        <f t="shared" si="1"/>
        <v>—</v>
      </c>
      <c r="F20" s="28"/>
      <c r="G20" s="21"/>
      <c r="H20" s="16" t="str">
        <f t="shared" si="2"/>
        <v>—</v>
      </c>
      <c r="I20" s="22">
        <v>0.05</v>
      </c>
      <c r="J20" s="21"/>
      <c r="K20" s="16" t="str">
        <f t="shared" si="3"/>
        <v/>
      </c>
      <c r="L20" s="22">
        <v>0.08</v>
      </c>
      <c r="M20" s="21"/>
      <c r="N20" s="16" t="str">
        <f t="shared" si="4"/>
        <v/>
      </c>
      <c r="O20" s="22">
        <v>0.12</v>
      </c>
      <c r="P20" s="21"/>
      <c r="Q20" s="16" t="str">
        <f t="shared" si="5"/>
        <v/>
      </c>
      <c r="R20" s="22">
        <v>0.18</v>
      </c>
      <c r="S20" s="21"/>
      <c r="T20" s="16" t="str">
        <f t="shared" si="6"/>
        <v/>
      </c>
      <c r="U20" s="22">
        <v>0.25</v>
      </c>
      <c r="V20" s="21"/>
      <c r="W20" s="16" t="str">
        <f t="shared" si="7"/>
        <v/>
      </c>
      <c r="X20" s="22">
        <v>0.32</v>
      </c>
      <c r="Y20" s="21"/>
      <c r="Z20" s="16" t="str">
        <f t="shared" si="8"/>
        <v/>
      </c>
      <c r="AA20" s="22">
        <v>0.4</v>
      </c>
      <c r="AB20" s="21"/>
      <c r="AC20" s="16" t="str">
        <f t="shared" si="9"/>
        <v/>
      </c>
      <c r="AD20" s="22">
        <v>0.48</v>
      </c>
      <c r="AE20" s="21"/>
      <c r="AF20" s="16" t="str">
        <f t="shared" si="10"/>
        <v/>
      </c>
      <c r="AG20" s="22">
        <v>0.57</v>
      </c>
      <c r="AH20" s="21"/>
      <c r="AI20" s="16" t="str">
        <f t="shared" si="11"/>
        <v/>
      </c>
      <c r="AJ20" s="22">
        <v>0.65</v>
      </c>
      <c r="AK20" s="21"/>
      <c r="AL20" s="16" t="str">
        <f t="shared" si="12"/>
        <v/>
      </c>
    </row>
    <row r="21" ht="19.5" hidden="1" customHeight="1">
      <c r="A21" s="17"/>
      <c r="B21" s="17" t="s">
        <v>45</v>
      </c>
      <c r="C21" s="20">
        <v>0.05</v>
      </c>
      <c r="D21" s="21"/>
      <c r="E21" s="18" t="str">
        <f t="shared" si="1"/>
        <v/>
      </c>
      <c r="F21" s="20">
        <v>0.06</v>
      </c>
      <c r="G21" s="21"/>
      <c r="H21" s="18" t="str">
        <f t="shared" si="2"/>
        <v/>
      </c>
      <c r="I21" s="20">
        <v>0.07</v>
      </c>
      <c r="J21" s="21"/>
      <c r="K21" s="18" t="str">
        <f t="shared" si="3"/>
        <v/>
      </c>
      <c r="L21" s="20">
        <v>0.08</v>
      </c>
      <c r="M21" s="21"/>
      <c r="N21" s="18" t="str">
        <f t="shared" si="4"/>
        <v/>
      </c>
      <c r="O21" s="20">
        <v>0.1</v>
      </c>
      <c r="P21" s="21"/>
      <c r="Q21" s="18" t="str">
        <f t="shared" si="5"/>
        <v/>
      </c>
      <c r="R21" s="20">
        <v>0.12</v>
      </c>
      <c r="S21" s="21"/>
      <c r="T21" s="18" t="str">
        <f t="shared" si="6"/>
        <v/>
      </c>
      <c r="U21" s="20">
        <v>0.14</v>
      </c>
      <c r="V21" s="21"/>
      <c r="W21" s="18" t="str">
        <f t="shared" si="7"/>
        <v/>
      </c>
      <c r="X21" s="20">
        <v>0.16</v>
      </c>
      <c r="Y21" s="21"/>
      <c r="Z21" s="18" t="str">
        <f t="shared" si="8"/>
        <v/>
      </c>
      <c r="AA21" s="20">
        <v>0.18</v>
      </c>
      <c r="AB21" s="21"/>
      <c r="AC21" s="18" t="str">
        <f t="shared" si="9"/>
        <v/>
      </c>
      <c r="AD21" s="20">
        <v>0.2</v>
      </c>
      <c r="AE21" s="21"/>
      <c r="AF21" s="18" t="str">
        <f t="shared" si="10"/>
        <v/>
      </c>
      <c r="AG21" s="20">
        <v>0.22</v>
      </c>
      <c r="AH21" s="21"/>
      <c r="AI21" s="18" t="str">
        <f t="shared" si="11"/>
        <v/>
      </c>
      <c r="AJ21" s="20">
        <v>0.25</v>
      </c>
      <c r="AK21" s="21"/>
      <c r="AL21" s="18" t="str">
        <f t="shared" si="12"/>
        <v/>
      </c>
    </row>
    <row r="22" ht="19.5" hidden="1" customHeight="1">
      <c r="A22" s="13"/>
      <c r="B22" s="13" t="s">
        <v>46</v>
      </c>
      <c r="C22" s="19">
        <v>100.0</v>
      </c>
      <c r="D22" s="15"/>
      <c r="E22" s="16" t="str">
        <f t="shared" si="1"/>
        <v/>
      </c>
      <c r="F22" s="19">
        <v>150.0</v>
      </c>
      <c r="G22" s="15"/>
      <c r="H22" s="16" t="str">
        <f t="shared" si="2"/>
        <v/>
      </c>
      <c r="I22" s="19">
        <v>200.0</v>
      </c>
      <c r="J22" s="15"/>
      <c r="K22" s="16" t="str">
        <f t="shared" si="3"/>
        <v/>
      </c>
      <c r="L22" s="19">
        <v>250.0</v>
      </c>
      <c r="M22" s="15"/>
      <c r="N22" s="16" t="str">
        <f t="shared" si="4"/>
        <v/>
      </c>
      <c r="O22" s="19">
        <v>300.0</v>
      </c>
      <c r="P22" s="15"/>
      <c r="Q22" s="16" t="str">
        <f t="shared" si="5"/>
        <v/>
      </c>
      <c r="R22" s="19">
        <v>350.0</v>
      </c>
      <c r="S22" s="15"/>
      <c r="T22" s="16" t="str">
        <f t="shared" si="6"/>
        <v/>
      </c>
      <c r="U22" s="19">
        <v>400.0</v>
      </c>
      <c r="V22" s="15"/>
      <c r="W22" s="16" t="str">
        <f t="shared" si="7"/>
        <v/>
      </c>
      <c r="X22" s="19">
        <v>450.0</v>
      </c>
      <c r="Y22" s="15"/>
      <c r="Z22" s="16" t="str">
        <f t="shared" si="8"/>
        <v/>
      </c>
      <c r="AA22" s="19">
        <v>500.0</v>
      </c>
      <c r="AB22" s="15"/>
      <c r="AC22" s="16" t="str">
        <f t="shared" si="9"/>
        <v/>
      </c>
      <c r="AD22" s="19">
        <v>550.0</v>
      </c>
      <c r="AE22" s="15"/>
      <c r="AF22" s="16" t="str">
        <f t="shared" si="10"/>
        <v/>
      </c>
      <c r="AG22" s="19">
        <v>600.0</v>
      </c>
      <c r="AH22" s="15"/>
      <c r="AI22" s="16" t="str">
        <f t="shared" si="11"/>
        <v/>
      </c>
      <c r="AJ22" s="19">
        <v>700.0</v>
      </c>
      <c r="AK22" s="15"/>
      <c r="AL22" s="16" t="str">
        <f t="shared" si="12"/>
        <v/>
      </c>
    </row>
    <row r="23" ht="19.5" hidden="1" customHeight="1">
      <c r="A23" s="29" t="s">
        <v>47</v>
      </c>
      <c r="B23" s="17" t="s">
        <v>48</v>
      </c>
      <c r="C23" s="20">
        <v>0.01</v>
      </c>
      <c r="D23" s="21"/>
      <c r="E23" s="18" t="str">
        <f t="shared" si="1"/>
        <v/>
      </c>
      <c r="F23" s="20">
        <v>0.015</v>
      </c>
      <c r="G23" s="21"/>
      <c r="H23" s="18" t="str">
        <f t="shared" si="2"/>
        <v/>
      </c>
      <c r="I23" s="20">
        <v>0.02</v>
      </c>
      <c r="J23" s="21"/>
      <c r="K23" s="18" t="str">
        <f t="shared" si="3"/>
        <v/>
      </c>
      <c r="L23" s="20">
        <v>0.025</v>
      </c>
      <c r="M23" s="21"/>
      <c r="N23" s="18" t="str">
        <f t="shared" si="4"/>
        <v/>
      </c>
      <c r="O23" s="20">
        <v>0.03</v>
      </c>
      <c r="P23" s="21"/>
      <c r="Q23" s="18" t="str">
        <f t="shared" si="5"/>
        <v/>
      </c>
      <c r="R23" s="20">
        <v>0.035</v>
      </c>
      <c r="S23" s="21"/>
      <c r="T23" s="18" t="str">
        <f t="shared" si="6"/>
        <v/>
      </c>
      <c r="U23" s="20">
        <v>0.04</v>
      </c>
      <c r="V23" s="21"/>
      <c r="W23" s="18" t="str">
        <f t="shared" si="7"/>
        <v/>
      </c>
      <c r="X23" s="20">
        <v>0.045</v>
      </c>
      <c r="Y23" s="21"/>
      <c r="Z23" s="18" t="str">
        <f t="shared" si="8"/>
        <v/>
      </c>
      <c r="AA23" s="20">
        <v>0.05</v>
      </c>
      <c r="AB23" s="21"/>
      <c r="AC23" s="18" t="str">
        <f t="shared" si="9"/>
        <v/>
      </c>
      <c r="AD23" s="20">
        <v>0.05</v>
      </c>
      <c r="AE23" s="21"/>
      <c r="AF23" s="18" t="str">
        <f t="shared" si="10"/>
        <v/>
      </c>
      <c r="AG23" s="20">
        <v>0.055</v>
      </c>
      <c r="AH23" s="21"/>
      <c r="AI23" s="18" t="str">
        <f t="shared" si="11"/>
        <v/>
      </c>
      <c r="AJ23" s="20">
        <v>0.06</v>
      </c>
      <c r="AK23" s="21"/>
      <c r="AL23" s="18" t="str">
        <f t="shared" si="12"/>
        <v/>
      </c>
    </row>
    <row r="24" ht="19.5" hidden="1" customHeight="1">
      <c r="A24" s="13"/>
      <c r="B24" s="13" t="s">
        <v>49</v>
      </c>
      <c r="C24" s="19">
        <v>200.0</v>
      </c>
      <c r="D24" s="15"/>
      <c r="E24" s="16" t="str">
        <f t="shared" si="1"/>
        <v/>
      </c>
      <c r="F24" s="19">
        <v>400.0</v>
      </c>
      <c r="G24" s="15"/>
      <c r="H24" s="16" t="str">
        <f t="shared" si="2"/>
        <v/>
      </c>
      <c r="I24" s="19">
        <v>700.0</v>
      </c>
      <c r="J24" s="15"/>
      <c r="K24" s="16" t="str">
        <f t="shared" si="3"/>
        <v/>
      </c>
      <c r="L24" s="19">
        <v>1000.0</v>
      </c>
      <c r="M24" s="15"/>
      <c r="N24" s="16" t="str">
        <f t="shared" si="4"/>
        <v/>
      </c>
      <c r="O24" s="19">
        <v>1400.0</v>
      </c>
      <c r="P24" s="15"/>
      <c r="Q24" s="16" t="str">
        <f t="shared" si="5"/>
        <v/>
      </c>
      <c r="R24" s="19">
        <v>1900.0</v>
      </c>
      <c r="S24" s="15"/>
      <c r="T24" s="16" t="str">
        <f t="shared" si="6"/>
        <v/>
      </c>
      <c r="U24" s="19">
        <v>2500.0</v>
      </c>
      <c r="V24" s="15"/>
      <c r="W24" s="16" t="str">
        <f t="shared" si="7"/>
        <v/>
      </c>
      <c r="X24" s="19">
        <v>3200.0</v>
      </c>
      <c r="Y24" s="15"/>
      <c r="Z24" s="16" t="str">
        <f t="shared" si="8"/>
        <v/>
      </c>
      <c r="AA24" s="19">
        <v>4000.0</v>
      </c>
      <c r="AB24" s="15"/>
      <c r="AC24" s="16" t="str">
        <f t="shared" si="9"/>
        <v/>
      </c>
      <c r="AD24" s="19">
        <v>4800.0</v>
      </c>
      <c r="AE24" s="15"/>
      <c r="AF24" s="16" t="str">
        <f t="shared" si="10"/>
        <v/>
      </c>
      <c r="AG24" s="19">
        <v>5700.0</v>
      </c>
      <c r="AH24" s="15"/>
      <c r="AI24" s="16" t="str">
        <f t="shared" si="11"/>
        <v/>
      </c>
      <c r="AJ24" s="19">
        <v>7000.0</v>
      </c>
      <c r="AK24" s="15"/>
      <c r="AL24" s="16" t="str">
        <f t="shared" si="12"/>
        <v/>
      </c>
    </row>
    <row r="25" ht="19.5" hidden="1" customHeight="1">
      <c r="A25" s="29" t="s">
        <v>50</v>
      </c>
      <c r="B25" s="17" t="s">
        <v>51</v>
      </c>
      <c r="C25" s="14">
        <v>2.0</v>
      </c>
      <c r="D25" s="15"/>
      <c r="E25" s="18" t="str">
        <f t="shared" si="1"/>
        <v/>
      </c>
      <c r="F25" s="14">
        <v>4.0</v>
      </c>
      <c r="G25" s="15"/>
      <c r="H25" s="18" t="str">
        <f t="shared" si="2"/>
        <v/>
      </c>
      <c r="I25" s="14">
        <v>6.0</v>
      </c>
      <c r="J25" s="15"/>
      <c r="K25" s="18" t="str">
        <f t="shared" si="3"/>
        <v/>
      </c>
      <c r="L25" s="14">
        <v>8.0</v>
      </c>
      <c r="M25" s="15"/>
      <c r="N25" s="18" t="str">
        <f t="shared" si="4"/>
        <v/>
      </c>
      <c r="O25" s="14">
        <v>10.0</v>
      </c>
      <c r="P25" s="15"/>
      <c r="Q25" s="18" t="str">
        <f t="shared" si="5"/>
        <v/>
      </c>
      <c r="R25" s="14">
        <v>14.0</v>
      </c>
      <c r="S25" s="15"/>
      <c r="T25" s="18" t="str">
        <f t="shared" si="6"/>
        <v/>
      </c>
      <c r="U25" s="14">
        <v>18.0</v>
      </c>
      <c r="V25" s="15"/>
      <c r="W25" s="18" t="str">
        <f t="shared" si="7"/>
        <v/>
      </c>
      <c r="X25" s="14">
        <v>22.0</v>
      </c>
      <c r="Y25" s="15"/>
      <c r="Z25" s="18" t="str">
        <f t="shared" si="8"/>
        <v/>
      </c>
      <c r="AA25" s="14">
        <v>26.0</v>
      </c>
      <c r="AB25" s="15"/>
      <c r="AC25" s="18" t="str">
        <f t="shared" si="9"/>
        <v/>
      </c>
      <c r="AD25" s="14">
        <v>30.0</v>
      </c>
      <c r="AE25" s="15"/>
      <c r="AF25" s="18" t="str">
        <f t="shared" si="10"/>
        <v/>
      </c>
      <c r="AG25" s="14">
        <v>34.0</v>
      </c>
      <c r="AH25" s="15"/>
      <c r="AI25" s="18" t="str">
        <f t="shared" si="11"/>
        <v/>
      </c>
      <c r="AJ25" s="14">
        <v>38.0</v>
      </c>
      <c r="AK25" s="15"/>
      <c r="AL25" s="18" t="str">
        <f t="shared" si="12"/>
        <v/>
      </c>
    </row>
    <row r="26" ht="19.5" hidden="1" customHeight="1">
      <c r="A26" s="13"/>
      <c r="B26" s="13" t="s">
        <v>52</v>
      </c>
      <c r="C26" s="30">
        <v>0.0</v>
      </c>
      <c r="D26" s="15"/>
      <c r="E26" s="16" t="str">
        <f t="shared" si="1"/>
        <v>—</v>
      </c>
      <c r="F26" s="30">
        <v>0.0</v>
      </c>
      <c r="G26" s="15"/>
      <c r="H26" s="16" t="str">
        <f t="shared" si="2"/>
        <v>—</v>
      </c>
      <c r="I26" s="19">
        <v>1.0</v>
      </c>
      <c r="J26" s="15"/>
      <c r="K26" s="16" t="str">
        <f t="shared" si="3"/>
        <v/>
      </c>
      <c r="L26" s="19">
        <v>2.0</v>
      </c>
      <c r="M26" s="15"/>
      <c r="N26" s="16" t="str">
        <f t="shared" si="4"/>
        <v/>
      </c>
      <c r="O26" s="19">
        <v>3.0</v>
      </c>
      <c r="P26" s="15"/>
      <c r="Q26" s="16" t="str">
        <f t="shared" si="5"/>
        <v/>
      </c>
      <c r="R26" s="19">
        <v>4.0</v>
      </c>
      <c r="S26" s="15"/>
      <c r="T26" s="16" t="str">
        <f t="shared" si="6"/>
        <v/>
      </c>
      <c r="U26" s="19">
        <v>5.0</v>
      </c>
      <c r="V26" s="15"/>
      <c r="W26" s="16" t="str">
        <f t="shared" si="7"/>
        <v/>
      </c>
      <c r="X26" s="19">
        <v>6.0</v>
      </c>
      <c r="Y26" s="15"/>
      <c r="Z26" s="16" t="str">
        <f t="shared" si="8"/>
        <v/>
      </c>
      <c r="AA26" s="19">
        <v>7.0</v>
      </c>
      <c r="AB26" s="15"/>
      <c r="AC26" s="16" t="str">
        <f t="shared" si="9"/>
        <v/>
      </c>
      <c r="AD26" s="19">
        <v>8.0</v>
      </c>
      <c r="AE26" s="15"/>
      <c r="AF26" s="16" t="str">
        <f t="shared" si="10"/>
        <v/>
      </c>
      <c r="AG26" s="19">
        <v>9.0</v>
      </c>
      <c r="AH26" s="15"/>
      <c r="AI26" s="16" t="str">
        <f t="shared" si="11"/>
        <v/>
      </c>
      <c r="AJ26" s="19">
        <v>10.0</v>
      </c>
      <c r="AK26" s="15"/>
      <c r="AL26" s="16" t="str">
        <f t="shared" si="12"/>
        <v/>
      </c>
    </row>
    <row r="27" ht="19.5" hidden="1" customHeight="1">
      <c r="A27" s="17"/>
      <c r="B27" s="17" t="s">
        <v>53</v>
      </c>
      <c r="C27" s="26">
        <v>0.0</v>
      </c>
      <c r="D27" s="15"/>
      <c r="E27" s="18" t="str">
        <f t="shared" si="1"/>
        <v>—</v>
      </c>
      <c r="F27" s="26">
        <v>0.0</v>
      </c>
      <c r="G27" s="15"/>
      <c r="H27" s="18" t="str">
        <f t="shared" si="2"/>
        <v>—</v>
      </c>
      <c r="I27" s="14">
        <v>1.0</v>
      </c>
      <c r="J27" s="15"/>
      <c r="K27" s="18" t="str">
        <f t="shared" si="3"/>
        <v/>
      </c>
      <c r="L27" s="14">
        <v>1.0</v>
      </c>
      <c r="M27" s="15"/>
      <c r="N27" s="18" t="str">
        <f t="shared" si="4"/>
        <v/>
      </c>
      <c r="O27" s="14">
        <v>2.0</v>
      </c>
      <c r="P27" s="15"/>
      <c r="Q27" s="18" t="str">
        <f t="shared" si="5"/>
        <v/>
      </c>
      <c r="R27" s="14">
        <v>2.0</v>
      </c>
      <c r="S27" s="15"/>
      <c r="T27" s="18" t="str">
        <f t="shared" si="6"/>
        <v/>
      </c>
      <c r="U27" s="14">
        <v>3.0</v>
      </c>
      <c r="V27" s="15"/>
      <c r="W27" s="18" t="str">
        <f t="shared" si="7"/>
        <v/>
      </c>
      <c r="X27" s="14">
        <v>4.0</v>
      </c>
      <c r="Y27" s="15"/>
      <c r="Z27" s="18" t="str">
        <f t="shared" si="8"/>
        <v/>
      </c>
      <c r="AA27" s="14">
        <v>5.0</v>
      </c>
      <c r="AB27" s="15"/>
      <c r="AC27" s="18" t="str">
        <f t="shared" si="9"/>
        <v/>
      </c>
      <c r="AD27" s="14">
        <v>6.0</v>
      </c>
      <c r="AE27" s="15"/>
      <c r="AF27" s="18" t="str">
        <f t="shared" si="10"/>
        <v/>
      </c>
      <c r="AG27" s="14">
        <v>7.0</v>
      </c>
      <c r="AH27" s="15"/>
      <c r="AI27" s="18" t="str">
        <f t="shared" si="11"/>
        <v/>
      </c>
      <c r="AJ27" s="14">
        <v>8.0</v>
      </c>
      <c r="AK27" s="15"/>
      <c r="AL27" s="18" t="str">
        <f t="shared" si="12"/>
        <v/>
      </c>
    </row>
    <row r="28" ht="19.5" hidden="1" customHeight="1">
      <c r="A28" s="12" t="s">
        <v>54</v>
      </c>
      <c r="B28" s="13" t="s">
        <v>55</v>
      </c>
      <c r="C28" s="22">
        <v>0.25</v>
      </c>
      <c r="D28" s="21"/>
      <c r="E28" s="16" t="str">
        <f t="shared" si="1"/>
        <v/>
      </c>
      <c r="F28" s="22">
        <v>0.28</v>
      </c>
      <c r="G28" s="21"/>
      <c r="H28" s="16" t="str">
        <f t="shared" si="2"/>
        <v/>
      </c>
      <c r="I28" s="22">
        <v>0.3</v>
      </c>
      <c r="J28" s="21"/>
      <c r="K28" s="16" t="str">
        <f t="shared" si="3"/>
        <v/>
      </c>
      <c r="L28" s="22">
        <v>0.32</v>
      </c>
      <c r="M28" s="21"/>
      <c r="N28" s="16" t="str">
        <f t="shared" si="4"/>
        <v/>
      </c>
      <c r="O28" s="22">
        <v>0.33</v>
      </c>
      <c r="P28" s="21"/>
      <c r="Q28" s="16" t="str">
        <f t="shared" si="5"/>
        <v/>
      </c>
      <c r="R28" s="22">
        <v>0.35</v>
      </c>
      <c r="S28" s="21"/>
      <c r="T28" s="16" t="str">
        <f t="shared" si="6"/>
        <v/>
      </c>
      <c r="U28" s="22">
        <v>0.35</v>
      </c>
      <c r="V28" s="21"/>
      <c r="W28" s="16" t="str">
        <f t="shared" si="7"/>
        <v/>
      </c>
      <c r="X28" s="22">
        <v>0.36</v>
      </c>
      <c r="Y28" s="21"/>
      <c r="Z28" s="16" t="str">
        <f t="shared" si="8"/>
        <v/>
      </c>
      <c r="AA28" s="22">
        <v>0.37</v>
      </c>
      <c r="AB28" s="21"/>
      <c r="AC28" s="16" t="str">
        <f t="shared" si="9"/>
        <v/>
      </c>
      <c r="AD28" s="22">
        <v>0.37</v>
      </c>
      <c r="AE28" s="21"/>
      <c r="AF28" s="16" t="str">
        <f t="shared" si="10"/>
        <v/>
      </c>
      <c r="AG28" s="22">
        <v>0.38</v>
      </c>
      <c r="AH28" s="21"/>
      <c r="AI28" s="16" t="str">
        <f t="shared" si="11"/>
        <v/>
      </c>
      <c r="AJ28" s="22">
        <v>0.4</v>
      </c>
      <c r="AK28" s="21"/>
      <c r="AL28" s="16" t="str">
        <f t="shared" si="12"/>
        <v/>
      </c>
    </row>
    <row r="29" ht="19.5" hidden="1" customHeight="1">
      <c r="A29" s="17"/>
      <c r="B29" s="17" t="s">
        <v>56</v>
      </c>
      <c r="C29" s="20">
        <v>0.05</v>
      </c>
      <c r="D29" s="21"/>
      <c r="E29" s="18" t="str">
        <f t="shared" si="1"/>
        <v/>
      </c>
      <c r="F29" s="20">
        <v>0.06</v>
      </c>
      <c r="G29" s="21"/>
      <c r="H29" s="18" t="str">
        <f t="shared" si="2"/>
        <v/>
      </c>
      <c r="I29" s="20">
        <v>0.07</v>
      </c>
      <c r="J29" s="21"/>
      <c r="K29" s="18" t="str">
        <f t="shared" si="3"/>
        <v/>
      </c>
      <c r="L29" s="20">
        <v>0.07</v>
      </c>
      <c r="M29" s="21"/>
      <c r="N29" s="18" t="str">
        <f t="shared" si="4"/>
        <v/>
      </c>
      <c r="O29" s="20">
        <v>0.08</v>
      </c>
      <c r="P29" s="21"/>
      <c r="Q29" s="18" t="str">
        <f t="shared" si="5"/>
        <v/>
      </c>
      <c r="R29" s="20">
        <v>0.08</v>
      </c>
      <c r="S29" s="21"/>
      <c r="T29" s="18" t="str">
        <f t="shared" si="6"/>
        <v/>
      </c>
      <c r="U29" s="20">
        <v>0.08</v>
      </c>
      <c r="V29" s="21"/>
      <c r="W29" s="18" t="str">
        <f t="shared" si="7"/>
        <v/>
      </c>
      <c r="X29" s="20">
        <v>0.09</v>
      </c>
      <c r="Y29" s="21"/>
      <c r="Z29" s="18" t="str">
        <f t="shared" si="8"/>
        <v/>
      </c>
      <c r="AA29" s="20">
        <v>0.09</v>
      </c>
      <c r="AB29" s="21"/>
      <c r="AC29" s="18" t="str">
        <f t="shared" si="9"/>
        <v/>
      </c>
      <c r="AD29" s="20">
        <v>0.09</v>
      </c>
      <c r="AE29" s="21"/>
      <c r="AF29" s="18" t="str">
        <f t="shared" si="10"/>
        <v/>
      </c>
      <c r="AG29" s="20">
        <v>0.09</v>
      </c>
      <c r="AH29" s="21"/>
      <c r="AI29" s="18" t="str">
        <f t="shared" si="11"/>
        <v/>
      </c>
      <c r="AJ29" s="20">
        <v>0.1</v>
      </c>
      <c r="AK29" s="21"/>
      <c r="AL29" s="18" t="str">
        <f t="shared" si="12"/>
        <v/>
      </c>
    </row>
    <row r="30" ht="19.5" hidden="1" customHeight="1">
      <c r="A30" s="12" t="s">
        <v>57</v>
      </c>
      <c r="B30" s="13" t="s">
        <v>58</v>
      </c>
      <c r="C30" s="28"/>
      <c r="D30" s="21"/>
      <c r="E30" s="16" t="str">
        <f t="shared" si="1"/>
        <v>—</v>
      </c>
      <c r="F30" s="28"/>
      <c r="G30" s="21"/>
      <c r="H30" s="16" t="str">
        <f t="shared" si="2"/>
        <v>—</v>
      </c>
      <c r="I30" s="22">
        <v>0.7</v>
      </c>
      <c r="J30" s="21"/>
      <c r="K30" s="16" t="str">
        <f t="shared" si="3"/>
        <v/>
      </c>
      <c r="L30" s="28"/>
      <c r="M30" s="21"/>
      <c r="N30" s="16" t="str">
        <f t="shared" si="4"/>
        <v>—</v>
      </c>
      <c r="O30" s="28"/>
      <c r="P30" s="21"/>
      <c r="Q30" s="16" t="str">
        <f t="shared" si="5"/>
        <v>—</v>
      </c>
      <c r="R30" s="22">
        <v>0.72</v>
      </c>
      <c r="S30" s="21"/>
      <c r="T30" s="16" t="str">
        <f t="shared" si="6"/>
        <v/>
      </c>
      <c r="U30" s="28"/>
      <c r="V30" s="21"/>
      <c r="W30" s="16" t="str">
        <f t="shared" si="7"/>
        <v>—</v>
      </c>
      <c r="X30" s="28"/>
      <c r="Y30" s="21"/>
      <c r="Z30" s="16" t="str">
        <f t="shared" si="8"/>
        <v>—</v>
      </c>
      <c r="AA30" s="22">
        <v>0.73</v>
      </c>
      <c r="AB30" s="21"/>
      <c r="AC30" s="16" t="str">
        <f t="shared" si="9"/>
        <v/>
      </c>
      <c r="AD30" s="28"/>
      <c r="AE30" s="21"/>
      <c r="AF30" s="16" t="str">
        <f t="shared" si="10"/>
        <v>—</v>
      </c>
      <c r="AG30" s="28"/>
      <c r="AH30" s="21"/>
      <c r="AI30" s="16" t="str">
        <f t="shared" si="11"/>
        <v>—</v>
      </c>
      <c r="AJ30" s="22">
        <v>0.75</v>
      </c>
      <c r="AK30" s="21"/>
      <c r="AL30" s="16" t="str">
        <f t="shared" si="12"/>
        <v/>
      </c>
    </row>
    <row r="31" ht="19.5" hidden="1" customHeight="1">
      <c r="A31" s="17"/>
      <c r="B31" s="17" t="s">
        <v>59</v>
      </c>
      <c r="C31" s="26">
        <v>0.0</v>
      </c>
      <c r="D31" s="15"/>
      <c r="E31" s="18" t="str">
        <f t="shared" si="1"/>
        <v>—</v>
      </c>
      <c r="F31" s="14">
        <v>1.0</v>
      </c>
      <c r="G31" s="15"/>
      <c r="H31" s="18" t="str">
        <f t="shared" si="2"/>
        <v/>
      </c>
      <c r="I31" s="14">
        <v>3.0</v>
      </c>
      <c r="J31" s="15"/>
      <c r="K31" s="18" t="str">
        <f t="shared" si="3"/>
        <v/>
      </c>
      <c r="L31" s="14">
        <v>5.0</v>
      </c>
      <c r="M31" s="15"/>
      <c r="N31" s="18" t="str">
        <f t="shared" si="4"/>
        <v/>
      </c>
      <c r="O31" s="14">
        <v>8.0</v>
      </c>
      <c r="P31" s="15"/>
      <c r="Q31" s="18" t="str">
        <f t="shared" si="5"/>
        <v/>
      </c>
      <c r="R31" s="14">
        <v>12.0</v>
      </c>
      <c r="S31" s="15"/>
      <c r="T31" s="18" t="str">
        <f t="shared" si="6"/>
        <v/>
      </c>
      <c r="U31" s="14">
        <v>15.0</v>
      </c>
      <c r="V31" s="15"/>
      <c r="W31" s="18" t="str">
        <f t="shared" si="7"/>
        <v/>
      </c>
      <c r="X31" s="14">
        <v>18.0</v>
      </c>
      <c r="Y31" s="15"/>
      <c r="Z31" s="18" t="str">
        <f t="shared" si="8"/>
        <v/>
      </c>
      <c r="AA31" s="14">
        <v>21.0</v>
      </c>
      <c r="AB31" s="15"/>
      <c r="AC31" s="18" t="str">
        <f t="shared" si="9"/>
        <v/>
      </c>
      <c r="AD31" s="14">
        <v>23.0</v>
      </c>
      <c r="AE31" s="15"/>
      <c r="AF31" s="18" t="str">
        <f t="shared" si="10"/>
        <v/>
      </c>
      <c r="AG31" s="14">
        <v>26.0</v>
      </c>
      <c r="AH31" s="15"/>
      <c r="AI31" s="18" t="str">
        <f t="shared" si="11"/>
        <v/>
      </c>
      <c r="AJ31" s="14">
        <v>30.0</v>
      </c>
      <c r="AK31" s="15"/>
      <c r="AL31" s="18" t="str">
        <f t="shared" si="12"/>
        <v/>
      </c>
    </row>
    <row r="32" ht="19.5" hidden="1" customHeight="1">
      <c r="A32" s="13"/>
      <c r="B32" s="13" t="s">
        <v>60</v>
      </c>
      <c r="C32" s="30">
        <v>0.0</v>
      </c>
      <c r="D32" s="15"/>
      <c r="E32" s="16" t="str">
        <f t="shared" si="1"/>
        <v>—</v>
      </c>
      <c r="F32" s="30">
        <v>0.0</v>
      </c>
      <c r="G32" s="15"/>
      <c r="H32" s="16" t="str">
        <f t="shared" si="2"/>
        <v>—</v>
      </c>
      <c r="I32" s="19">
        <v>1.0</v>
      </c>
      <c r="J32" s="15"/>
      <c r="K32" s="16" t="str">
        <f t="shared" si="3"/>
        <v/>
      </c>
      <c r="L32" s="19">
        <v>1.0</v>
      </c>
      <c r="M32" s="15"/>
      <c r="N32" s="16" t="str">
        <f t="shared" si="4"/>
        <v/>
      </c>
      <c r="O32" s="19">
        <v>2.0</v>
      </c>
      <c r="P32" s="15"/>
      <c r="Q32" s="16" t="str">
        <f t="shared" si="5"/>
        <v/>
      </c>
      <c r="R32" s="19">
        <v>3.0</v>
      </c>
      <c r="S32" s="15"/>
      <c r="T32" s="16" t="str">
        <f t="shared" si="6"/>
        <v/>
      </c>
      <c r="U32" s="19">
        <v>4.0</v>
      </c>
      <c r="V32" s="15"/>
      <c r="W32" s="16" t="str">
        <f t="shared" si="7"/>
        <v/>
      </c>
      <c r="X32" s="19">
        <v>5.0</v>
      </c>
      <c r="Y32" s="15"/>
      <c r="Z32" s="16" t="str">
        <f t="shared" si="8"/>
        <v/>
      </c>
      <c r="AA32" s="19">
        <v>6.0</v>
      </c>
      <c r="AB32" s="15"/>
      <c r="AC32" s="16" t="str">
        <f t="shared" si="9"/>
        <v/>
      </c>
      <c r="AD32" s="19">
        <v>7.0</v>
      </c>
      <c r="AE32" s="15"/>
      <c r="AF32" s="16" t="str">
        <f t="shared" si="10"/>
        <v/>
      </c>
      <c r="AG32" s="19">
        <v>8.0</v>
      </c>
      <c r="AH32" s="15"/>
      <c r="AI32" s="16" t="str">
        <f t="shared" si="11"/>
        <v/>
      </c>
      <c r="AJ32" s="19">
        <v>10.0</v>
      </c>
      <c r="AK32" s="15"/>
      <c r="AL32" s="16" t="str">
        <f t="shared" si="12"/>
        <v/>
      </c>
    </row>
    <row r="33" ht="24.0" customHeight="1">
      <c r="A33" s="31" t="s">
        <v>61</v>
      </c>
      <c r="B33" s="32"/>
      <c r="C33" s="33">
        <f>C8</f>
        <v>4</v>
      </c>
      <c r="D33" s="34">
        <v>5.0</v>
      </c>
      <c r="E33" s="35">
        <f t="shared" si="1"/>
        <v>1.25</v>
      </c>
      <c r="F33" s="33">
        <f>F8</f>
        <v>10</v>
      </c>
      <c r="G33" s="34"/>
      <c r="H33" s="35" t="str">
        <f t="shared" si="2"/>
        <v/>
      </c>
      <c r="I33" s="33">
        <f>I8</f>
        <v>17</v>
      </c>
      <c r="J33" s="34"/>
      <c r="K33" s="35" t="str">
        <f t="shared" si="3"/>
        <v/>
      </c>
      <c r="L33" s="33">
        <f>L8</f>
        <v>25</v>
      </c>
      <c r="M33" s="34"/>
      <c r="N33" s="35" t="str">
        <f t="shared" si="4"/>
        <v/>
      </c>
      <c r="O33" s="33">
        <f>O8</f>
        <v>34</v>
      </c>
      <c r="P33" s="34"/>
      <c r="Q33" s="35" t="str">
        <f t="shared" si="5"/>
        <v/>
      </c>
      <c r="R33" s="33">
        <f>R8</f>
        <v>44</v>
      </c>
      <c r="S33" s="34"/>
      <c r="T33" s="35" t="str">
        <f t="shared" si="6"/>
        <v/>
      </c>
      <c r="U33" s="33">
        <f>U8</f>
        <v>54</v>
      </c>
      <c r="V33" s="34"/>
      <c r="W33" s="35" t="str">
        <f t="shared" si="7"/>
        <v/>
      </c>
      <c r="X33" s="33">
        <f>X8</f>
        <v>64</v>
      </c>
      <c r="Y33" s="34"/>
      <c r="Z33" s="35" t="str">
        <f t="shared" si="8"/>
        <v/>
      </c>
      <c r="AA33" s="33">
        <f>AA8</f>
        <v>75</v>
      </c>
      <c r="AB33" s="34"/>
      <c r="AC33" s="35" t="str">
        <f t="shared" si="9"/>
        <v/>
      </c>
      <c r="AD33" s="33">
        <f>AD8</f>
        <v>86</v>
      </c>
      <c r="AE33" s="34"/>
      <c r="AF33" s="35" t="str">
        <f t="shared" si="10"/>
        <v/>
      </c>
      <c r="AG33" s="33">
        <f>AG8</f>
        <v>98</v>
      </c>
      <c r="AH33" s="34"/>
      <c r="AI33" s="35" t="str">
        <f t="shared" si="11"/>
        <v/>
      </c>
      <c r="AJ33" s="33">
        <f>AJ8</f>
        <v>111</v>
      </c>
      <c r="AK33" s="34"/>
      <c r="AL33" s="35" t="str">
        <f t="shared" si="12"/>
        <v/>
      </c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ht="25.5" customHeight="1">
      <c r="A35" s="36" t="s">
        <v>62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2"/>
    </row>
    <row r="36" ht="27.75" customHeight="1">
      <c r="A36" s="38" t="s">
        <v>63</v>
      </c>
      <c r="B36" s="38" t="s">
        <v>64</v>
      </c>
      <c r="C36" s="39" t="s">
        <v>21</v>
      </c>
      <c r="D36" s="39" t="s">
        <v>22</v>
      </c>
      <c r="E36" s="39" t="s">
        <v>23</v>
      </c>
      <c r="F36" s="39" t="s">
        <v>21</v>
      </c>
      <c r="G36" s="39" t="s">
        <v>22</v>
      </c>
      <c r="H36" s="39" t="s">
        <v>23</v>
      </c>
      <c r="I36" s="39" t="s">
        <v>21</v>
      </c>
      <c r="J36" s="39" t="s">
        <v>22</v>
      </c>
      <c r="K36" s="39" t="s">
        <v>23</v>
      </c>
      <c r="L36" s="39" t="s">
        <v>21</v>
      </c>
      <c r="M36" s="39" t="s">
        <v>22</v>
      </c>
      <c r="N36" s="39" t="s">
        <v>23</v>
      </c>
      <c r="O36" s="39" t="s">
        <v>21</v>
      </c>
      <c r="P36" s="39" t="s">
        <v>22</v>
      </c>
      <c r="Q36" s="39" t="s">
        <v>23</v>
      </c>
      <c r="R36" s="39" t="s">
        <v>21</v>
      </c>
      <c r="S36" s="39" t="s">
        <v>22</v>
      </c>
      <c r="T36" s="39" t="s">
        <v>23</v>
      </c>
      <c r="U36" s="39" t="s">
        <v>21</v>
      </c>
      <c r="V36" s="39" t="s">
        <v>22</v>
      </c>
      <c r="W36" s="39" t="s">
        <v>23</v>
      </c>
      <c r="X36" s="39" t="s">
        <v>21</v>
      </c>
      <c r="Y36" s="39" t="s">
        <v>22</v>
      </c>
      <c r="Z36" s="39" t="s">
        <v>23</v>
      </c>
      <c r="AA36" s="39" t="s">
        <v>21</v>
      </c>
      <c r="AB36" s="39" t="s">
        <v>22</v>
      </c>
      <c r="AC36" s="39" t="s">
        <v>23</v>
      </c>
      <c r="AD36" s="39" t="s">
        <v>21</v>
      </c>
      <c r="AE36" s="39" t="s">
        <v>22</v>
      </c>
      <c r="AF36" s="39" t="s">
        <v>23</v>
      </c>
      <c r="AG36" s="39" t="s">
        <v>21</v>
      </c>
      <c r="AH36" s="39" t="s">
        <v>22</v>
      </c>
      <c r="AI36" s="39" t="s">
        <v>23</v>
      </c>
      <c r="AJ36" s="39" t="s">
        <v>21</v>
      </c>
      <c r="AK36" s="39" t="s">
        <v>22</v>
      </c>
      <c r="AL36" s="39" t="s">
        <v>23</v>
      </c>
    </row>
    <row r="37" ht="19.5" customHeight="1">
      <c r="A37" s="40" t="s">
        <v>65</v>
      </c>
      <c r="B37" s="40" t="s">
        <v>66</v>
      </c>
      <c r="C37" s="8">
        <v>61.0</v>
      </c>
      <c r="D37" s="8">
        <v>30.0</v>
      </c>
      <c r="E37" s="41">
        <f t="shared" ref="E37:E76" si="13">IFERROR(IF(ISNUMBER(C37),IF(D37="","",D37/C37),"—"),"—")</f>
        <v>0.4918032787</v>
      </c>
      <c r="F37" s="8">
        <v>66.0</v>
      </c>
      <c r="G37" s="8"/>
      <c r="H37" s="41" t="str">
        <f t="shared" ref="H37:H76" si="14">IFERROR(IF(ISNUMBER(F37),IF(G37="","",G37/F37),"—"),"—")</f>
        <v/>
      </c>
      <c r="I37" s="8">
        <v>70.0</v>
      </c>
      <c r="J37" s="8"/>
      <c r="K37" s="41" t="str">
        <f t="shared" ref="K37:K76" si="15">IFERROR(IF(ISNUMBER(I37),IF(J37="","",J37/I37),"—"),"—")</f>
        <v/>
      </c>
      <c r="L37" s="8">
        <v>70.0</v>
      </c>
      <c r="M37" s="8"/>
      <c r="N37" s="41" t="str">
        <f t="shared" ref="N37:N76" si="16">IFERROR(IF(ISNUMBER(L37),IF(M37="","",M37/L37),"—"),"—")</f>
        <v/>
      </c>
      <c r="O37" s="8">
        <v>74.0</v>
      </c>
      <c r="P37" s="8"/>
      <c r="Q37" s="41" t="str">
        <f t="shared" ref="Q37:Q76" si="17">IFERROR(IF(ISNUMBER(O37),IF(P37="","",P37/O37),"—"),"—")</f>
        <v/>
      </c>
      <c r="R37" s="8">
        <v>80.0</v>
      </c>
      <c r="S37" s="8"/>
      <c r="T37" s="41" t="str">
        <f t="shared" ref="T37:T76" si="18">IFERROR(IF(ISNUMBER(R37),IF(S37="","",S37/R37),"—"),"—")</f>
        <v/>
      </c>
      <c r="U37" s="8">
        <v>80.0</v>
      </c>
      <c r="V37" s="8"/>
      <c r="W37" s="41" t="str">
        <f t="shared" ref="W37:W76" si="19">IFERROR(IF(ISNUMBER(U37),IF(V37="","",V37/U37),"—"),"—")</f>
        <v/>
      </c>
      <c r="X37" s="8">
        <v>83.0</v>
      </c>
      <c r="Y37" s="8"/>
      <c r="Z37" s="41" t="str">
        <f t="shared" ref="Z37:Z76" si="20">IFERROR(IF(ISNUMBER(X37),IF(Y37="","",Y37/X37),"—"),"—")</f>
        <v/>
      </c>
      <c r="AA37" s="8">
        <v>89.0</v>
      </c>
      <c r="AB37" s="8"/>
      <c r="AC37" s="41" t="str">
        <f t="shared" ref="AC37:AC76" si="21">IFERROR(IF(ISNUMBER(AA37),IF(AB37="","",AB37/AA37),"—"),"—")</f>
        <v/>
      </c>
      <c r="AD37" s="8">
        <v>87.0</v>
      </c>
      <c r="AE37" s="8"/>
      <c r="AF37" s="41" t="str">
        <f t="shared" ref="AF37:AF76" si="22">IFERROR(IF(ISNUMBER(AD37),IF(AE37="","",AE37/AD37),"—"),"—")</f>
        <v/>
      </c>
      <c r="AG37" s="8">
        <v>91.0</v>
      </c>
      <c r="AH37" s="8"/>
      <c r="AI37" s="41" t="str">
        <f t="shared" ref="AI37:AI76" si="23">IFERROR(IF(ISNUMBER(AG37),IF(AH37="","",AH37/AG37),"—"),"—")</f>
        <v/>
      </c>
      <c r="AJ37" s="8">
        <v>95.0</v>
      </c>
      <c r="AK37" s="8"/>
      <c r="AL37" s="41" t="str">
        <f t="shared" ref="AL37:AL76" si="24">IFERROR(IF(ISNUMBER(AJ37),IF(AK37="","",AK37/AJ37),"—"),"—")</f>
        <v/>
      </c>
    </row>
    <row r="38" ht="18.0" customHeight="1">
      <c r="A38" s="42"/>
      <c r="B38" s="42" t="s">
        <v>67</v>
      </c>
      <c r="C38" s="8">
        <v>30.0</v>
      </c>
      <c r="D38" s="8">
        <v>25.0</v>
      </c>
      <c r="E38" s="41">
        <f t="shared" si="13"/>
        <v>0.8333333333</v>
      </c>
      <c r="F38" s="8">
        <v>34.0</v>
      </c>
      <c r="G38" s="8"/>
      <c r="H38" s="41" t="str">
        <f t="shared" si="14"/>
        <v/>
      </c>
      <c r="I38" s="8">
        <v>38.0</v>
      </c>
      <c r="J38" s="8"/>
      <c r="K38" s="41" t="str">
        <f t="shared" si="15"/>
        <v/>
      </c>
      <c r="L38" s="8">
        <v>38.0</v>
      </c>
      <c r="M38" s="8"/>
      <c r="N38" s="41" t="str">
        <f t="shared" si="16"/>
        <v/>
      </c>
      <c r="O38" s="8">
        <v>42.0</v>
      </c>
      <c r="P38" s="8"/>
      <c r="Q38" s="41" t="str">
        <f t="shared" si="17"/>
        <v/>
      </c>
      <c r="R38" s="8">
        <v>45.0</v>
      </c>
      <c r="S38" s="8"/>
      <c r="T38" s="41" t="str">
        <f t="shared" si="18"/>
        <v/>
      </c>
      <c r="U38" s="8">
        <v>45.0</v>
      </c>
      <c r="V38" s="8"/>
      <c r="W38" s="41" t="str">
        <f t="shared" si="19"/>
        <v/>
      </c>
      <c r="X38" s="8">
        <v>49.0</v>
      </c>
      <c r="Y38" s="8"/>
      <c r="Z38" s="41" t="str">
        <f t="shared" si="20"/>
        <v/>
      </c>
      <c r="AA38" s="8">
        <v>53.0</v>
      </c>
      <c r="AB38" s="8"/>
      <c r="AC38" s="41" t="str">
        <f t="shared" si="21"/>
        <v/>
      </c>
      <c r="AD38" s="8">
        <v>53.0</v>
      </c>
      <c r="AE38" s="8"/>
      <c r="AF38" s="41" t="str">
        <f t="shared" si="22"/>
        <v/>
      </c>
      <c r="AG38" s="8">
        <v>57.0</v>
      </c>
      <c r="AH38" s="8"/>
      <c r="AI38" s="41" t="str">
        <f t="shared" si="23"/>
        <v/>
      </c>
      <c r="AJ38" s="8">
        <v>61.0</v>
      </c>
      <c r="AK38" s="8"/>
      <c r="AL38" s="41" t="str">
        <f t="shared" si="24"/>
        <v/>
      </c>
    </row>
    <row r="39" ht="18.0" customHeight="1">
      <c r="A39" s="43"/>
      <c r="B39" s="43" t="s">
        <v>68</v>
      </c>
      <c r="C39" s="8">
        <v>6.0</v>
      </c>
      <c r="D39" s="8">
        <v>5.0</v>
      </c>
      <c r="E39" s="41">
        <f t="shared" si="13"/>
        <v>0.8333333333</v>
      </c>
      <c r="F39" s="8">
        <v>7.0</v>
      </c>
      <c r="G39" s="8"/>
      <c r="H39" s="41" t="str">
        <f t="shared" si="14"/>
        <v/>
      </c>
      <c r="I39" s="8">
        <v>8.0</v>
      </c>
      <c r="J39" s="8"/>
      <c r="K39" s="41" t="str">
        <f t="shared" si="15"/>
        <v/>
      </c>
      <c r="L39" s="8">
        <v>8.0</v>
      </c>
      <c r="M39" s="8"/>
      <c r="N39" s="41" t="str">
        <f t="shared" si="16"/>
        <v/>
      </c>
      <c r="O39" s="8">
        <v>9.0</v>
      </c>
      <c r="P39" s="8"/>
      <c r="Q39" s="41" t="str">
        <f t="shared" si="17"/>
        <v/>
      </c>
      <c r="R39" s="8">
        <v>10.0</v>
      </c>
      <c r="S39" s="8"/>
      <c r="T39" s="41" t="str">
        <f t="shared" si="18"/>
        <v/>
      </c>
      <c r="U39" s="8">
        <v>10.0</v>
      </c>
      <c r="V39" s="8"/>
      <c r="W39" s="41" t="str">
        <f t="shared" si="19"/>
        <v/>
      </c>
      <c r="X39" s="8">
        <v>11.0</v>
      </c>
      <c r="Y39" s="8"/>
      <c r="Z39" s="41" t="str">
        <f t="shared" si="20"/>
        <v/>
      </c>
      <c r="AA39" s="8">
        <v>11.0</v>
      </c>
      <c r="AB39" s="8"/>
      <c r="AC39" s="41" t="str">
        <f t="shared" si="21"/>
        <v/>
      </c>
      <c r="AD39" s="8">
        <v>12.0</v>
      </c>
      <c r="AE39" s="8"/>
      <c r="AF39" s="41" t="str">
        <f t="shared" si="22"/>
        <v/>
      </c>
      <c r="AG39" s="8">
        <v>13.0</v>
      </c>
      <c r="AH39" s="8"/>
      <c r="AI39" s="41" t="str">
        <f t="shared" si="23"/>
        <v/>
      </c>
      <c r="AJ39" s="8">
        <v>14.0</v>
      </c>
      <c r="AK39" s="8"/>
      <c r="AL39" s="41" t="str">
        <f t="shared" si="24"/>
        <v/>
      </c>
    </row>
    <row r="40" ht="18.0" customHeight="1">
      <c r="A40" s="44"/>
      <c r="B40" s="44" t="s">
        <v>69</v>
      </c>
      <c r="C40" s="8">
        <v>2.0</v>
      </c>
      <c r="D40" s="8"/>
      <c r="E40" s="41" t="str">
        <f t="shared" si="13"/>
        <v/>
      </c>
      <c r="F40" s="8">
        <v>2.0</v>
      </c>
      <c r="G40" s="8"/>
      <c r="H40" s="41" t="str">
        <f t="shared" si="14"/>
        <v/>
      </c>
      <c r="I40" s="8">
        <v>3.0</v>
      </c>
      <c r="J40" s="8"/>
      <c r="K40" s="41" t="str">
        <f t="shared" si="15"/>
        <v/>
      </c>
      <c r="L40" s="8">
        <v>3.0</v>
      </c>
      <c r="M40" s="8"/>
      <c r="N40" s="41" t="str">
        <f t="shared" si="16"/>
        <v/>
      </c>
      <c r="O40" s="8">
        <v>3.0</v>
      </c>
      <c r="P40" s="8"/>
      <c r="Q40" s="41" t="str">
        <f t="shared" si="17"/>
        <v/>
      </c>
      <c r="R40" s="8">
        <v>4.0</v>
      </c>
      <c r="S40" s="8"/>
      <c r="T40" s="41" t="str">
        <f t="shared" si="18"/>
        <v/>
      </c>
      <c r="U40" s="8">
        <v>4.0</v>
      </c>
      <c r="V40" s="8"/>
      <c r="W40" s="41" t="str">
        <f t="shared" si="19"/>
        <v/>
      </c>
      <c r="X40" s="8">
        <v>4.0</v>
      </c>
      <c r="Y40" s="8"/>
      <c r="Z40" s="41" t="str">
        <f t="shared" si="20"/>
        <v/>
      </c>
      <c r="AA40" s="8">
        <v>4.0</v>
      </c>
      <c r="AB40" s="8"/>
      <c r="AC40" s="41" t="str">
        <f t="shared" si="21"/>
        <v/>
      </c>
      <c r="AD40" s="8">
        <v>5.0</v>
      </c>
      <c r="AE40" s="8"/>
      <c r="AF40" s="41" t="str">
        <f t="shared" si="22"/>
        <v/>
      </c>
      <c r="AG40" s="8">
        <v>5.0</v>
      </c>
      <c r="AH40" s="8"/>
      <c r="AI40" s="41" t="str">
        <f t="shared" si="23"/>
        <v/>
      </c>
      <c r="AJ40" s="8">
        <v>5.0</v>
      </c>
      <c r="AK40" s="8"/>
      <c r="AL40" s="41" t="str">
        <f t="shared" si="24"/>
        <v/>
      </c>
    </row>
    <row r="41" ht="18.0" customHeight="1">
      <c r="A41" s="40" t="s">
        <v>70</v>
      </c>
      <c r="B41" s="40" t="s">
        <v>66</v>
      </c>
      <c r="C41" s="8">
        <v>45.0</v>
      </c>
      <c r="D41" s="8">
        <v>27.0</v>
      </c>
      <c r="E41" s="41">
        <f t="shared" si="13"/>
        <v>0.6</v>
      </c>
      <c r="F41" s="8">
        <v>50.0</v>
      </c>
      <c r="G41" s="8"/>
      <c r="H41" s="41" t="str">
        <f t="shared" si="14"/>
        <v/>
      </c>
      <c r="I41" s="8">
        <v>53.0</v>
      </c>
      <c r="J41" s="8"/>
      <c r="K41" s="41" t="str">
        <f t="shared" si="15"/>
        <v/>
      </c>
      <c r="L41" s="8">
        <v>53.0</v>
      </c>
      <c r="M41" s="8"/>
      <c r="N41" s="41" t="str">
        <f t="shared" si="16"/>
        <v/>
      </c>
      <c r="O41" s="8">
        <v>55.0</v>
      </c>
      <c r="P41" s="8"/>
      <c r="Q41" s="41" t="str">
        <f t="shared" si="17"/>
        <v/>
      </c>
      <c r="R41" s="8">
        <v>60.0</v>
      </c>
      <c r="S41" s="8"/>
      <c r="T41" s="41" t="str">
        <f t="shared" si="18"/>
        <v/>
      </c>
      <c r="U41" s="8">
        <v>60.0</v>
      </c>
      <c r="V41" s="8"/>
      <c r="W41" s="41" t="str">
        <f t="shared" si="19"/>
        <v/>
      </c>
      <c r="X41" s="8">
        <v>62.0</v>
      </c>
      <c r="Y41" s="8"/>
      <c r="Z41" s="41" t="str">
        <f t="shared" si="20"/>
        <v/>
      </c>
      <c r="AA41" s="8">
        <v>67.0</v>
      </c>
      <c r="AB41" s="8"/>
      <c r="AC41" s="41" t="str">
        <f t="shared" si="21"/>
        <v/>
      </c>
      <c r="AD41" s="8">
        <v>65.0</v>
      </c>
      <c r="AE41" s="8"/>
      <c r="AF41" s="41" t="str">
        <f t="shared" si="22"/>
        <v/>
      </c>
      <c r="AG41" s="8">
        <v>68.0</v>
      </c>
      <c r="AH41" s="8"/>
      <c r="AI41" s="41" t="str">
        <f t="shared" si="23"/>
        <v/>
      </c>
      <c r="AJ41" s="8">
        <v>71.0</v>
      </c>
      <c r="AK41" s="8"/>
      <c r="AL41" s="41" t="str">
        <f t="shared" si="24"/>
        <v/>
      </c>
    </row>
    <row r="42" ht="18.0" customHeight="1">
      <c r="A42" s="42"/>
      <c r="B42" s="42" t="s">
        <v>67</v>
      </c>
      <c r="C42" s="8">
        <v>23.0</v>
      </c>
      <c r="D42" s="8">
        <v>11.0</v>
      </c>
      <c r="E42" s="41">
        <f t="shared" si="13"/>
        <v>0.4782608696</v>
      </c>
      <c r="F42" s="8">
        <v>26.0</v>
      </c>
      <c r="G42" s="8"/>
      <c r="H42" s="41" t="str">
        <f t="shared" si="14"/>
        <v/>
      </c>
      <c r="I42" s="8">
        <v>28.0</v>
      </c>
      <c r="J42" s="8"/>
      <c r="K42" s="41" t="str">
        <f t="shared" si="15"/>
        <v/>
      </c>
      <c r="L42" s="8">
        <v>28.0</v>
      </c>
      <c r="M42" s="8"/>
      <c r="N42" s="41" t="str">
        <f t="shared" si="16"/>
        <v/>
      </c>
      <c r="O42" s="8">
        <v>31.0</v>
      </c>
      <c r="P42" s="8"/>
      <c r="Q42" s="41" t="str">
        <f t="shared" si="17"/>
        <v/>
      </c>
      <c r="R42" s="8">
        <v>34.0</v>
      </c>
      <c r="S42" s="8"/>
      <c r="T42" s="41" t="str">
        <f t="shared" si="18"/>
        <v/>
      </c>
      <c r="U42" s="8">
        <v>34.0</v>
      </c>
      <c r="V42" s="8"/>
      <c r="W42" s="41" t="str">
        <f t="shared" si="19"/>
        <v/>
      </c>
      <c r="X42" s="8">
        <v>37.0</v>
      </c>
      <c r="Y42" s="8"/>
      <c r="Z42" s="41" t="str">
        <f t="shared" si="20"/>
        <v/>
      </c>
      <c r="AA42" s="8">
        <v>40.0</v>
      </c>
      <c r="AB42" s="8"/>
      <c r="AC42" s="41" t="str">
        <f t="shared" si="21"/>
        <v/>
      </c>
      <c r="AD42" s="8">
        <v>40.0</v>
      </c>
      <c r="AE42" s="8"/>
      <c r="AF42" s="41" t="str">
        <f t="shared" si="22"/>
        <v/>
      </c>
      <c r="AG42" s="8">
        <v>43.0</v>
      </c>
      <c r="AH42" s="8"/>
      <c r="AI42" s="41" t="str">
        <f t="shared" si="23"/>
        <v/>
      </c>
      <c r="AJ42" s="8">
        <v>45.0</v>
      </c>
      <c r="AK42" s="8"/>
      <c r="AL42" s="41" t="str">
        <f t="shared" si="24"/>
        <v/>
      </c>
    </row>
    <row r="43" ht="18.0" customHeight="1">
      <c r="A43" s="43"/>
      <c r="B43" s="43" t="s">
        <v>68</v>
      </c>
      <c r="C43" s="8">
        <v>5.0</v>
      </c>
      <c r="D43" s="8">
        <v>1.0</v>
      </c>
      <c r="E43" s="41">
        <f t="shared" si="13"/>
        <v>0.2</v>
      </c>
      <c r="F43" s="8">
        <v>5.0</v>
      </c>
      <c r="G43" s="8"/>
      <c r="H43" s="41" t="str">
        <f t="shared" si="14"/>
        <v/>
      </c>
      <c r="I43" s="8">
        <v>6.0</v>
      </c>
      <c r="J43" s="8"/>
      <c r="K43" s="41" t="str">
        <f t="shared" si="15"/>
        <v/>
      </c>
      <c r="L43" s="8">
        <v>6.0</v>
      </c>
      <c r="M43" s="8"/>
      <c r="N43" s="41" t="str">
        <f t="shared" si="16"/>
        <v/>
      </c>
      <c r="O43" s="8">
        <v>7.0</v>
      </c>
      <c r="P43" s="8"/>
      <c r="Q43" s="41" t="str">
        <f t="shared" si="17"/>
        <v/>
      </c>
      <c r="R43" s="8">
        <v>7.0</v>
      </c>
      <c r="S43" s="8"/>
      <c r="T43" s="41" t="str">
        <f t="shared" si="18"/>
        <v/>
      </c>
      <c r="U43" s="8">
        <v>7.0</v>
      </c>
      <c r="V43" s="8"/>
      <c r="W43" s="41" t="str">
        <f t="shared" si="19"/>
        <v/>
      </c>
      <c r="X43" s="8">
        <v>8.0</v>
      </c>
      <c r="Y43" s="8"/>
      <c r="Z43" s="41" t="str">
        <f t="shared" si="20"/>
        <v/>
      </c>
      <c r="AA43" s="8">
        <v>9.0</v>
      </c>
      <c r="AB43" s="8"/>
      <c r="AC43" s="41" t="str">
        <f t="shared" si="21"/>
        <v/>
      </c>
      <c r="AD43" s="8">
        <v>9.0</v>
      </c>
      <c r="AE43" s="8"/>
      <c r="AF43" s="41" t="str">
        <f t="shared" si="22"/>
        <v/>
      </c>
      <c r="AG43" s="8">
        <v>10.0</v>
      </c>
      <c r="AH43" s="8"/>
      <c r="AI43" s="41" t="str">
        <f t="shared" si="23"/>
        <v/>
      </c>
      <c r="AJ43" s="8">
        <v>10.0</v>
      </c>
      <c r="AK43" s="8"/>
      <c r="AL43" s="41" t="str">
        <f t="shared" si="24"/>
        <v/>
      </c>
    </row>
    <row r="44" ht="18.0" customHeight="1">
      <c r="A44" s="44"/>
      <c r="B44" s="44" t="s">
        <v>69</v>
      </c>
      <c r="C44" s="8">
        <v>1.0</v>
      </c>
      <c r="D44" s="8"/>
      <c r="E44" s="41" t="str">
        <f t="shared" si="13"/>
        <v/>
      </c>
      <c r="F44" s="8">
        <v>2.0</v>
      </c>
      <c r="G44" s="8"/>
      <c r="H44" s="41" t="str">
        <f t="shared" si="14"/>
        <v/>
      </c>
      <c r="I44" s="8">
        <v>2.0</v>
      </c>
      <c r="J44" s="8"/>
      <c r="K44" s="41" t="str">
        <f t="shared" si="15"/>
        <v/>
      </c>
      <c r="L44" s="8">
        <v>2.0</v>
      </c>
      <c r="M44" s="8"/>
      <c r="N44" s="41" t="str">
        <f t="shared" si="16"/>
        <v/>
      </c>
      <c r="O44" s="8">
        <v>3.0</v>
      </c>
      <c r="P44" s="8"/>
      <c r="Q44" s="41" t="str">
        <f t="shared" si="17"/>
        <v/>
      </c>
      <c r="R44" s="8">
        <v>3.0</v>
      </c>
      <c r="S44" s="8"/>
      <c r="T44" s="41" t="str">
        <f t="shared" si="18"/>
        <v/>
      </c>
      <c r="U44" s="8">
        <v>3.0</v>
      </c>
      <c r="V44" s="8"/>
      <c r="W44" s="41" t="str">
        <f t="shared" si="19"/>
        <v/>
      </c>
      <c r="X44" s="8">
        <v>3.0</v>
      </c>
      <c r="Y44" s="8"/>
      <c r="Z44" s="41" t="str">
        <f t="shared" si="20"/>
        <v/>
      </c>
      <c r="AA44" s="8">
        <v>3.0</v>
      </c>
      <c r="AB44" s="8"/>
      <c r="AC44" s="41" t="str">
        <f t="shared" si="21"/>
        <v/>
      </c>
      <c r="AD44" s="8">
        <v>3.0</v>
      </c>
      <c r="AE44" s="8"/>
      <c r="AF44" s="41" t="str">
        <f t="shared" si="22"/>
        <v/>
      </c>
      <c r="AG44" s="8">
        <v>4.0</v>
      </c>
      <c r="AH44" s="8"/>
      <c r="AI44" s="41" t="str">
        <f t="shared" si="23"/>
        <v/>
      </c>
      <c r="AJ44" s="8">
        <v>4.0</v>
      </c>
      <c r="AK44" s="8"/>
      <c r="AL44" s="41" t="str">
        <f t="shared" si="24"/>
        <v/>
      </c>
    </row>
    <row r="45" ht="18.0" hidden="1" customHeight="1">
      <c r="A45" s="45" t="s">
        <v>71</v>
      </c>
      <c r="B45" s="2"/>
      <c r="C45" s="8">
        <v>8.0</v>
      </c>
      <c r="D45" s="8">
        <v>0.0</v>
      </c>
      <c r="E45" s="41">
        <f t="shared" si="13"/>
        <v>0</v>
      </c>
      <c r="F45" s="8">
        <v>8.0</v>
      </c>
      <c r="G45" s="8"/>
      <c r="H45" s="41" t="str">
        <f t="shared" si="14"/>
        <v/>
      </c>
      <c r="I45" s="8">
        <v>9.0</v>
      </c>
      <c r="J45" s="8"/>
      <c r="K45" s="41" t="str">
        <f t="shared" si="15"/>
        <v/>
      </c>
      <c r="L45" s="8">
        <v>9.0</v>
      </c>
      <c r="M45" s="8"/>
      <c r="N45" s="41" t="str">
        <f t="shared" si="16"/>
        <v/>
      </c>
      <c r="O45" s="8">
        <v>9.0</v>
      </c>
      <c r="P45" s="8"/>
      <c r="Q45" s="41" t="str">
        <f t="shared" si="17"/>
        <v/>
      </c>
      <c r="R45" s="8">
        <v>10.0</v>
      </c>
      <c r="S45" s="8"/>
      <c r="T45" s="41" t="str">
        <f t="shared" si="18"/>
        <v/>
      </c>
      <c r="U45" s="8">
        <v>10.0</v>
      </c>
      <c r="V45" s="8"/>
      <c r="W45" s="41" t="str">
        <f t="shared" si="19"/>
        <v/>
      </c>
      <c r="X45" s="8">
        <v>10.0</v>
      </c>
      <c r="Y45" s="8"/>
      <c r="Z45" s="41" t="str">
        <f t="shared" si="20"/>
        <v/>
      </c>
      <c r="AA45" s="8">
        <v>11.0</v>
      </c>
      <c r="AB45" s="8"/>
      <c r="AC45" s="41" t="str">
        <f t="shared" si="21"/>
        <v/>
      </c>
      <c r="AD45" s="8">
        <v>11.0</v>
      </c>
      <c r="AE45" s="8"/>
      <c r="AF45" s="41" t="str">
        <f t="shared" si="22"/>
        <v/>
      </c>
      <c r="AG45" s="8">
        <v>11.0</v>
      </c>
      <c r="AH45" s="8"/>
      <c r="AI45" s="41" t="str">
        <f t="shared" si="23"/>
        <v/>
      </c>
      <c r="AJ45" s="8">
        <v>12.0</v>
      </c>
      <c r="AK45" s="8"/>
      <c r="AL45" s="41" t="str">
        <f t="shared" si="24"/>
        <v/>
      </c>
    </row>
    <row r="46" ht="15.75" hidden="1" customHeight="1">
      <c r="A46" s="42"/>
      <c r="B46" s="42" t="s">
        <v>67</v>
      </c>
      <c r="C46" s="8">
        <v>4.0</v>
      </c>
      <c r="D46" s="8"/>
      <c r="E46" s="41" t="str">
        <f t="shared" si="13"/>
        <v/>
      </c>
      <c r="F46" s="8">
        <v>4.0</v>
      </c>
      <c r="G46" s="8"/>
      <c r="H46" s="41" t="str">
        <f t="shared" si="14"/>
        <v/>
      </c>
      <c r="I46" s="8">
        <v>5.0</v>
      </c>
      <c r="J46" s="8"/>
      <c r="K46" s="41" t="str">
        <f t="shared" si="15"/>
        <v/>
      </c>
      <c r="L46" s="8">
        <v>5.0</v>
      </c>
      <c r="M46" s="8"/>
      <c r="N46" s="41" t="str">
        <f t="shared" si="16"/>
        <v/>
      </c>
      <c r="O46" s="8">
        <v>5.0</v>
      </c>
      <c r="P46" s="8"/>
      <c r="Q46" s="41" t="str">
        <f t="shared" si="17"/>
        <v/>
      </c>
      <c r="R46" s="8">
        <v>6.0</v>
      </c>
      <c r="S46" s="8"/>
      <c r="T46" s="41" t="str">
        <f t="shared" si="18"/>
        <v/>
      </c>
      <c r="U46" s="8">
        <v>6.0</v>
      </c>
      <c r="V46" s="8"/>
      <c r="W46" s="41" t="str">
        <f t="shared" si="19"/>
        <v/>
      </c>
      <c r="X46" s="8">
        <v>6.0</v>
      </c>
      <c r="Y46" s="8"/>
      <c r="Z46" s="41" t="str">
        <f t="shared" si="20"/>
        <v/>
      </c>
      <c r="AA46" s="8">
        <v>7.0</v>
      </c>
      <c r="AB46" s="8"/>
      <c r="AC46" s="41" t="str">
        <f t="shared" si="21"/>
        <v/>
      </c>
      <c r="AD46" s="8">
        <v>7.0</v>
      </c>
      <c r="AE46" s="8"/>
      <c r="AF46" s="41" t="str">
        <f t="shared" si="22"/>
        <v/>
      </c>
      <c r="AG46" s="8">
        <v>7.0</v>
      </c>
      <c r="AH46" s="8"/>
      <c r="AI46" s="41" t="str">
        <f t="shared" si="23"/>
        <v/>
      </c>
      <c r="AJ46" s="8">
        <v>8.0</v>
      </c>
      <c r="AK46" s="8"/>
      <c r="AL46" s="41" t="str">
        <f t="shared" si="24"/>
        <v/>
      </c>
    </row>
    <row r="47" ht="15.75" hidden="1" customHeight="1">
      <c r="A47" s="43"/>
      <c r="B47" s="43" t="s">
        <v>68</v>
      </c>
      <c r="C47" s="8">
        <v>1.0</v>
      </c>
      <c r="D47" s="8"/>
      <c r="E47" s="41" t="str">
        <f t="shared" si="13"/>
        <v/>
      </c>
      <c r="F47" s="8">
        <v>1.0</v>
      </c>
      <c r="G47" s="8"/>
      <c r="H47" s="41" t="str">
        <f t="shared" si="14"/>
        <v/>
      </c>
      <c r="I47" s="8">
        <v>1.0</v>
      </c>
      <c r="J47" s="8"/>
      <c r="K47" s="41" t="str">
        <f t="shared" si="15"/>
        <v/>
      </c>
      <c r="L47" s="8">
        <v>1.0</v>
      </c>
      <c r="M47" s="8"/>
      <c r="N47" s="41" t="str">
        <f t="shared" si="16"/>
        <v/>
      </c>
      <c r="O47" s="8">
        <v>1.0</v>
      </c>
      <c r="P47" s="8"/>
      <c r="Q47" s="41" t="str">
        <f t="shared" si="17"/>
        <v/>
      </c>
      <c r="R47" s="8">
        <v>1.0</v>
      </c>
      <c r="S47" s="8"/>
      <c r="T47" s="41" t="str">
        <f t="shared" si="18"/>
        <v/>
      </c>
      <c r="U47" s="8">
        <v>1.0</v>
      </c>
      <c r="V47" s="8"/>
      <c r="W47" s="41" t="str">
        <f t="shared" si="19"/>
        <v/>
      </c>
      <c r="X47" s="8">
        <v>1.0</v>
      </c>
      <c r="Y47" s="8"/>
      <c r="Z47" s="41" t="str">
        <f t="shared" si="20"/>
        <v/>
      </c>
      <c r="AA47" s="8">
        <v>1.0</v>
      </c>
      <c r="AB47" s="8"/>
      <c r="AC47" s="41" t="str">
        <f t="shared" si="21"/>
        <v/>
      </c>
      <c r="AD47" s="8">
        <v>2.0</v>
      </c>
      <c r="AE47" s="8"/>
      <c r="AF47" s="41" t="str">
        <f t="shared" si="22"/>
        <v/>
      </c>
      <c r="AG47" s="8">
        <v>2.0</v>
      </c>
      <c r="AH47" s="8"/>
      <c r="AI47" s="41" t="str">
        <f t="shared" si="23"/>
        <v/>
      </c>
      <c r="AJ47" s="8">
        <v>2.0</v>
      </c>
      <c r="AK47" s="8"/>
      <c r="AL47" s="41" t="str">
        <f t="shared" si="24"/>
        <v/>
      </c>
    </row>
    <row r="48" ht="15.75" hidden="1" customHeight="1">
      <c r="A48" s="44"/>
      <c r="B48" s="44" t="s">
        <v>69</v>
      </c>
      <c r="C48" s="8">
        <v>0.0</v>
      </c>
      <c r="D48" s="8"/>
      <c r="E48" s="41" t="str">
        <f t="shared" si="13"/>
        <v/>
      </c>
      <c r="F48" s="8">
        <v>0.0</v>
      </c>
      <c r="G48" s="8"/>
      <c r="H48" s="41" t="str">
        <f t="shared" si="14"/>
        <v/>
      </c>
      <c r="I48" s="8">
        <v>0.0</v>
      </c>
      <c r="J48" s="8"/>
      <c r="K48" s="41" t="str">
        <f t="shared" si="15"/>
        <v/>
      </c>
      <c r="L48" s="8">
        <v>0.0</v>
      </c>
      <c r="M48" s="8"/>
      <c r="N48" s="41" t="str">
        <f t="shared" si="16"/>
        <v/>
      </c>
      <c r="O48" s="8">
        <v>0.0</v>
      </c>
      <c r="P48" s="8"/>
      <c r="Q48" s="41" t="str">
        <f t="shared" si="17"/>
        <v/>
      </c>
      <c r="R48" s="8">
        <v>0.0</v>
      </c>
      <c r="S48" s="8"/>
      <c r="T48" s="41" t="str">
        <f t="shared" si="18"/>
        <v/>
      </c>
      <c r="U48" s="8">
        <v>0.0</v>
      </c>
      <c r="V48" s="8"/>
      <c r="W48" s="41" t="str">
        <f t="shared" si="19"/>
        <v/>
      </c>
      <c r="X48" s="8">
        <v>0.0</v>
      </c>
      <c r="Y48" s="8"/>
      <c r="Z48" s="41" t="str">
        <f t="shared" si="20"/>
        <v/>
      </c>
      <c r="AA48" s="8">
        <v>1.0</v>
      </c>
      <c r="AB48" s="8"/>
      <c r="AC48" s="41" t="str">
        <f t="shared" si="21"/>
        <v/>
      </c>
      <c r="AD48" s="8">
        <v>1.0</v>
      </c>
      <c r="AE48" s="8"/>
      <c r="AF48" s="41" t="str">
        <f t="shared" si="22"/>
        <v/>
      </c>
      <c r="AG48" s="8">
        <v>1.0</v>
      </c>
      <c r="AH48" s="8"/>
      <c r="AI48" s="41" t="str">
        <f t="shared" si="23"/>
        <v/>
      </c>
      <c r="AJ48" s="8">
        <v>1.0</v>
      </c>
      <c r="AK48" s="8"/>
      <c r="AL48" s="41" t="str">
        <f t="shared" si="24"/>
        <v/>
      </c>
    </row>
    <row r="49" ht="15.75" customHeight="1">
      <c r="A49" s="40" t="s">
        <v>72</v>
      </c>
      <c r="B49" s="40" t="s">
        <v>66</v>
      </c>
      <c r="C49" s="8">
        <v>15.0</v>
      </c>
      <c r="D49" s="46">
        <v>53.0</v>
      </c>
      <c r="E49" s="41">
        <f t="shared" si="13"/>
        <v>3.533333333</v>
      </c>
      <c r="F49" s="8">
        <v>17.0</v>
      </c>
      <c r="G49" s="8"/>
      <c r="H49" s="41" t="str">
        <f t="shared" si="14"/>
        <v/>
      </c>
      <c r="I49" s="8">
        <v>18.0</v>
      </c>
      <c r="J49" s="8"/>
      <c r="K49" s="41" t="str">
        <f t="shared" si="15"/>
        <v/>
      </c>
      <c r="L49" s="8">
        <v>18.0</v>
      </c>
      <c r="M49" s="8"/>
      <c r="N49" s="41" t="str">
        <f t="shared" si="16"/>
        <v/>
      </c>
      <c r="O49" s="8">
        <v>19.0</v>
      </c>
      <c r="P49" s="8"/>
      <c r="Q49" s="41" t="str">
        <f t="shared" si="17"/>
        <v/>
      </c>
      <c r="R49" s="8">
        <v>20.0</v>
      </c>
      <c r="S49" s="8"/>
      <c r="T49" s="41" t="str">
        <f t="shared" si="18"/>
        <v/>
      </c>
      <c r="U49" s="8">
        <v>20.0</v>
      </c>
      <c r="V49" s="8"/>
      <c r="W49" s="41" t="str">
        <f t="shared" si="19"/>
        <v/>
      </c>
      <c r="X49" s="8">
        <v>21.0</v>
      </c>
      <c r="Y49" s="8"/>
      <c r="Z49" s="41" t="str">
        <f t="shared" si="20"/>
        <v/>
      </c>
      <c r="AA49" s="8">
        <v>22.0</v>
      </c>
      <c r="AB49" s="8"/>
      <c r="AC49" s="41" t="str">
        <f t="shared" si="21"/>
        <v/>
      </c>
      <c r="AD49" s="8">
        <v>22.0</v>
      </c>
      <c r="AE49" s="8"/>
      <c r="AF49" s="41" t="str">
        <f t="shared" si="22"/>
        <v/>
      </c>
      <c r="AG49" s="8">
        <v>23.0</v>
      </c>
      <c r="AH49" s="8"/>
      <c r="AI49" s="41" t="str">
        <f t="shared" si="23"/>
        <v/>
      </c>
      <c r="AJ49" s="8">
        <v>24.0</v>
      </c>
      <c r="AK49" s="8"/>
      <c r="AL49" s="41" t="str">
        <f t="shared" si="24"/>
        <v/>
      </c>
    </row>
    <row r="50" ht="15.75" customHeight="1">
      <c r="A50" s="42"/>
      <c r="B50" s="42" t="s">
        <v>67</v>
      </c>
      <c r="C50" s="8">
        <v>8.0</v>
      </c>
      <c r="D50" s="8">
        <v>27.0</v>
      </c>
      <c r="E50" s="41">
        <f t="shared" si="13"/>
        <v>3.375</v>
      </c>
      <c r="F50" s="8">
        <v>9.0</v>
      </c>
      <c r="G50" s="8"/>
      <c r="H50" s="41" t="str">
        <f t="shared" si="14"/>
        <v/>
      </c>
      <c r="I50" s="8">
        <v>10.0</v>
      </c>
      <c r="J50" s="8"/>
      <c r="K50" s="41" t="str">
        <f t="shared" si="15"/>
        <v/>
      </c>
      <c r="L50" s="8">
        <v>10.0</v>
      </c>
      <c r="M50" s="8"/>
      <c r="N50" s="41" t="str">
        <f t="shared" si="16"/>
        <v/>
      </c>
      <c r="O50" s="8">
        <v>10.0</v>
      </c>
      <c r="P50" s="8"/>
      <c r="Q50" s="41" t="str">
        <f t="shared" si="17"/>
        <v/>
      </c>
      <c r="R50" s="8">
        <v>11.0</v>
      </c>
      <c r="S50" s="8"/>
      <c r="T50" s="41" t="str">
        <f t="shared" si="18"/>
        <v/>
      </c>
      <c r="U50" s="8">
        <v>11.0</v>
      </c>
      <c r="V50" s="8"/>
      <c r="W50" s="41" t="str">
        <f t="shared" si="19"/>
        <v/>
      </c>
      <c r="X50" s="8">
        <v>12.0</v>
      </c>
      <c r="Y50" s="8"/>
      <c r="Z50" s="41" t="str">
        <f t="shared" si="20"/>
        <v/>
      </c>
      <c r="AA50" s="8">
        <v>13.0</v>
      </c>
      <c r="AB50" s="8"/>
      <c r="AC50" s="41" t="str">
        <f t="shared" si="21"/>
        <v/>
      </c>
      <c r="AD50" s="8">
        <v>13.0</v>
      </c>
      <c r="AE50" s="8"/>
      <c r="AF50" s="41" t="str">
        <f t="shared" si="22"/>
        <v/>
      </c>
      <c r="AG50" s="8">
        <v>14.0</v>
      </c>
      <c r="AH50" s="8"/>
      <c r="AI50" s="41" t="str">
        <f t="shared" si="23"/>
        <v/>
      </c>
      <c r="AJ50" s="8">
        <v>15.0</v>
      </c>
      <c r="AK50" s="8"/>
      <c r="AL50" s="41" t="str">
        <f t="shared" si="24"/>
        <v/>
      </c>
    </row>
    <row r="51" ht="15.75" customHeight="1">
      <c r="A51" s="43"/>
      <c r="B51" s="43" t="s">
        <v>68</v>
      </c>
      <c r="C51" s="8">
        <v>2.0</v>
      </c>
      <c r="D51" s="8">
        <v>13.0</v>
      </c>
      <c r="E51" s="41">
        <f t="shared" si="13"/>
        <v>6.5</v>
      </c>
      <c r="F51" s="8">
        <v>2.0</v>
      </c>
      <c r="G51" s="8"/>
      <c r="H51" s="41" t="str">
        <f t="shared" si="14"/>
        <v/>
      </c>
      <c r="I51" s="8">
        <v>2.0</v>
      </c>
      <c r="J51" s="8"/>
      <c r="K51" s="41" t="str">
        <f t="shared" si="15"/>
        <v/>
      </c>
      <c r="L51" s="8">
        <v>2.0</v>
      </c>
      <c r="M51" s="8"/>
      <c r="N51" s="41" t="str">
        <f t="shared" si="16"/>
        <v/>
      </c>
      <c r="O51" s="8">
        <v>2.0</v>
      </c>
      <c r="P51" s="8"/>
      <c r="Q51" s="41" t="str">
        <f t="shared" si="17"/>
        <v/>
      </c>
      <c r="R51" s="8">
        <v>2.0</v>
      </c>
      <c r="S51" s="8"/>
      <c r="T51" s="41" t="str">
        <f t="shared" si="18"/>
        <v/>
      </c>
      <c r="U51" s="8">
        <v>2.0</v>
      </c>
      <c r="V51" s="8"/>
      <c r="W51" s="41" t="str">
        <f t="shared" si="19"/>
        <v/>
      </c>
      <c r="X51" s="8">
        <v>3.0</v>
      </c>
      <c r="Y51" s="8"/>
      <c r="Z51" s="41" t="str">
        <f t="shared" si="20"/>
        <v/>
      </c>
      <c r="AA51" s="8">
        <v>3.0</v>
      </c>
      <c r="AB51" s="8"/>
      <c r="AC51" s="41" t="str">
        <f t="shared" si="21"/>
        <v/>
      </c>
      <c r="AD51" s="8">
        <v>3.0</v>
      </c>
      <c r="AE51" s="8"/>
      <c r="AF51" s="41" t="str">
        <f t="shared" si="22"/>
        <v/>
      </c>
      <c r="AG51" s="8">
        <v>3.0</v>
      </c>
      <c r="AH51" s="8"/>
      <c r="AI51" s="41" t="str">
        <f t="shared" si="23"/>
        <v/>
      </c>
      <c r="AJ51" s="8">
        <v>3.0</v>
      </c>
      <c r="AK51" s="8"/>
      <c r="AL51" s="41" t="str">
        <f t="shared" si="24"/>
        <v/>
      </c>
    </row>
    <row r="52" ht="15.75" customHeight="1">
      <c r="A52" s="44"/>
      <c r="B52" s="44" t="s">
        <v>69</v>
      </c>
      <c r="C52" s="8">
        <v>0.0</v>
      </c>
      <c r="D52" s="8"/>
      <c r="E52" s="41" t="str">
        <f t="shared" si="13"/>
        <v/>
      </c>
      <c r="F52" s="8">
        <v>1.0</v>
      </c>
      <c r="G52" s="8"/>
      <c r="H52" s="41" t="str">
        <f t="shared" si="14"/>
        <v/>
      </c>
      <c r="I52" s="8">
        <v>1.0</v>
      </c>
      <c r="J52" s="8"/>
      <c r="K52" s="41" t="str">
        <f t="shared" si="15"/>
        <v/>
      </c>
      <c r="L52" s="8">
        <v>1.0</v>
      </c>
      <c r="M52" s="8"/>
      <c r="N52" s="41" t="str">
        <f t="shared" si="16"/>
        <v/>
      </c>
      <c r="O52" s="8">
        <v>1.0</v>
      </c>
      <c r="P52" s="8"/>
      <c r="Q52" s="41" t="str">
        <f t="shared" si="17"/>
        <v/>
      </c>
      <c r="R52" s="8">
        <v>1.0</v>
      </c>
      <c r="S52" s="8"/>
      <c r="T52" s="41" t="str">
        <f t="shared" si="18"/>
        <v/>
      </c>
      <c r="U52" s="8">
        <v>1.0</v>
      </c>
      <c r="V52" s="8"/>
      <c r="W52" s="41" t="str">
        <f t="shared" si="19"/>
        <v/>
      </c>
      <c r="X52" s="8">
        <v>1.0</v>
      </c>
      <c r="Y52" s="8"/>
      <c r="Z52" s="41" t="str">
        <f t="shared" si="20"/>
        <v/>
      </c>
      <c r="AA52" s="8">
        <v>1.0</v>
      </c>
      <c r="AB52" s="8"/>
      <c r="AC52" s="41" t="str">
        <f t="shared" si="21"/>
        <v/>
      </c>
      <c r="AD52" s="8">
        <v>1.0</v>
      </c>
      <c r="AE52" s="8"/>
      <c r="AF52" s="41" t="str">
        <f t="shared" si="22"/>
        <v/>
      </c>
      <c r="AG52" s="8">
        <v>1.0</v>
      </c>
      <c r="AH52" s="8"/>
      <c r="AI52" s="41" t="str">
        <f t="shared" si="23"/>
        <v/>
      </c>
      <c r="AJ52" s="8">
        <v>1.0</v>
      </c>
      <c r="AK52" s="8"/>
      <c r="AL52" s="41" t="str">
        <f t="shared" si="24"/>
        <v/>
      </c>
    </row>
    <row r="53" ht="15.75" customHeight="1">
      <c r="A53" s="40" t="s">
        <v>73</v>
      </c>
      <c r="B53" s="40" t="s">
        <v>66</v>
      </c>
      <c r="C53" s="8">
        <v>6.0</v>
      </c>
      <c r="D53" s="8">
        <v>13.0</v>
      </c>
      <c r="E53" s="41">
        <f t="shared" si="13"/>
        <v>2.166666667</v>
      </c>
      <c r="F53" s="8">
        <v>6.0</v>
      </c>
      <c r="G53" s="8"/>
      <c r="H53" s="41" t="str">
        <f t="shared" si="14"/>
        <v/>
      </c>
      <c r="I53" s="8">
        <v>7.0</v>
      </c>
      <c r="J53" s="8"/>
      <c r="K53" s="41" t="str">
        <f t="shared" si="15"/>
        <v/>
      </c>
      <c r="L53" s="8">
        <v>7.0</v>
      </c>
      <c r="M53" s="8"/>
      <c r="N53" s="41" t="str">
        <f t="shared" si="16"/>
        <v/>
      </c>
      <c r="O53" s="8">
        <v>7.0</v>
      </c>
      <c r="P53" s="8"/>
      <c r="Q53" s="41" t="str">
        <f t="shared" si="17"/>
        <v/>
      </c>
      <c r="R53" s="8">
        <v>8.0</v>
      </c>
      <c r="S53" s="8"/>
      <c r="T53" s="41" t="str">
        <f t="shared" si="18"/>
        <v/>
      </c>
      <c r="U53" s="8">
        <v>8.0</v>
      </c>
      <c r="V53" s="8"/>
      <c r="W53" s="41" t="str">
        <f t="shared" si="19"/>
        <v/>
      </c>
      <c r="X53" s="8">
        <v>8.0</v>
      </c>
      <c r="Y53" s="8"/>
      <c r="Z53" s="41" t="str">
        <f t="shared" si="20"/>
        <v/>
      </c>
      <c r="AA53" s="8">
        <v>8.0</v>
      </c>
      <c r="AB53" s="8"/>
      <c r="AC53" s="41" t="str">
        <f t="shared" si="21"/>
        <v/>
      </c>
      <c r="AD53" s="8">
        <v>8.0</v>
      </c>
      <c r="AE53" s="8"/>
      <c r="AF53" s="41" t="str">
        <f t="shared" si="22"/>
        <v/>
      </c>
      <c r="AG53" s="8">
        <v>9.0</v>
      </c>
      <c r="AH53" s="8"/>
      <c r="AI53" s="41" t="str">
        <f t="shared" si="23"/>
        <v/>
      </c>
      <c r="AJ53" s="8">
        <v>9.0</v>
      </c>
      <c r="AK53" s="8"/>
      <c r="AL53" s="41" t="str">
        <f t="shared" si="24"/>
        <v/>
      </c>
    </row>
    <row r="54" ht="18.75" customHeight="1">
      <c r="A54" s="47" t="s">
        <v>74</v>
      </c>
      <c r="B54" s="2"/>
      <c r="C54" s="8">
        <v>3.0</v>
      </c>
      <c r="D54" s="8">
        <v>9.0</v>
      </c>
      <c r="E54" s="41">
        <f t="shared" si="13"/>
        <v>3</v>
      </c>
      <c r="F54" s="8">
        <v>3.0</v>
      </c>
      <c r="G54" s="8"/>
      <c r="H54" s="41" t="str">
        <f t="shared" si="14"/>
        <v/>
      </c>
      <c r="I54" s="8">
        <v>4.0</v>
      </c>
      <c r="J54" s="8"/>
      <c r="K54" s="41" t="str">
        <f t="shared" si="15"/>
        <v/>
      </c>
      <c r="L54" s="8">
        <v>4.0</v>
      </c>
      <c r="M54" s="8"/>
      <c r="N54" s="41" t="str">
        <f t="shared" si="16"/>
        <v/>
      </c>
      <c r="O54" s="8">
        <v>4.0</v>
      </c>
      <c r="P54" s="8"/>
      <c r="Q54" s="41" t="str">
        <f t="shared" si="17"/>
        <v/>
      </c>
      <c r="R54" s="8">
        <v>4.0</v>
      </c>
      <c r="S54" s="8"/>
      <c r="T54" s="41" t="str">
        <f t="shared" si="18"/>
        <v/>
      </c>
      <c r="U54" s="8">
        <v>4.0</v>
      </c>
      <c r="V54" s="8"/>
      <c r="W54" s="41" t="str">
        <f t="shared" si="19"/>
        <v/>
      </c>
      <c r="X54" s="8">
        <v>5.0</v>
      </c>
      <c r="Y54" s="8"/>
      <c r="Z54" s="41" t="str">
        <f t="shared" si="20"/>
        <v/>
      </c>
      <c r="AA54" s="8">
        <v>5.0</v>
      </c>
      <c r="AB54" s="8"/>
      <c r="AC54" s="41" t="str">
        <f t="shared" si="21"/>
        <v/>
      </c>
      <c r="AD54" s="8">
        <v>5.0</v>
      </c>
      <c r="AE54" s="8"/>
      <c r="AF54" s="41" t="str">
        <f t="shared" si="22"/>
        <v/>
      </c>
      <c r="AG54" s="8">
        <v>5.0</v>
      </c>
      <c r="AH54" s="8"/>
      <c r="AI54" s="41" t="str">
        <f t="shared" si="23"/>
        <v/>
      </c>
      <c r="AJ54" s="8">
        <v>6.0</v>
      </c>
      <c r="AK54" s="8"/>
      <c r="AL54" s="41" t="str">
        <f t="shared" si="24"/>
        <v/>
      </c>
    </row>
    <row r="55" ht="15.75" customHeight="1">
      <c r="A55" s="43"/>
      <c r="B55" s="43" t="s">
        <v>68</v>
      </c>
      <c r="C55" s="8">
        <v>1.0</v>
      </c>
      <c r="D55" s="8"/>
      <c r="E55" s="41" t="str">
        <f t="shared" si="13"/>
        <v/>
      </c>
      <c r="F55" s="8">
        <v>1.0</v>
      </c>
      <c r="G55" s="8"/>
      <c r="H55" s="41" t="str">
        <f t="shared" si="14"/>
        <v/>
      </c>
      <c r="I55" s="8">
        <v>1.0</v>
      </c>
      <c r="J55" s="8"/>
      <c r="K55" s="41" t="str">
        <f t="shared" si="15"/>
        <v/>
      </c>
      <c r="L55" s="8">
        <v>1.0</v>
      </c>
      <c r="M55" s="8"/>
      <c r="N55" s="41" t="str">
        <f t="shared" si="16"/>
        <v/>
      </c>
      <c r="O55" s="8">
        <v>1.0</v>
      </c>
      <c r="P55" s="8"/>
      <c r="Q55" s="41" t="str">
        <f t="shared" si="17"/>
        <v/>
      </c>
      <c r="R55" s="8">
        <v>1.0</v>
      </c>
      <c r="S55" s="8"/>
      <c r="T55" s="41" t="str">
        <f t="shared" si="18"/>
        <v/>
      </c>
      <c r="U55" s="8">
        <v>1.0</v>
      </c>
      <c r="V55" s="8"/>
      <c r="W55" s="41" t="str">
        <f t="shared" si="19"/>
        <v/>
      </c>
      <c r="X55" s="8">
        <v>1.0</v>
      </c>
      <c r="Y55" s="8"/>
      <c r="Z55" s="41" t="str">
        <f t="shared" si="20"/>
        <v/>
      </c>
      <c r="AA55" s="8">
        <v>1.0</v>
      </c>
      <c r="AB55" s="8"/>
      <c r="AC55" s="41" t="str">
        <f t="shared" si="21"/>
        <v/>
      </c>
      <c r="AD55" s="8">
        <v>1.0</v>
      </c>
      <c r="AE55" s="8"/>
      <c r="AF55" s="41" t="str">
        <f t="shared" si="22"/>
        <v/>
      </c>
      <c r="AG55" s="8">
        <v>1.0</v>
      </c>
      <c r="AH55" s="8"/>
      <c r="AI55" s="41" t="str">
        <f t="shared" si="23"/>
        <v/>
      </c>
      <c r="AJ55" s="8">
        <v>1.0</v>
      </c>
      <c r="AK55" s="8"/>
      <c r="AL55" s="41" t="str">
        <f t="shared" si="24"/>
        <v/>
      </c>
    </row>
    <row r="56" ht="15.75" customHeight="1">
      <c r="A56" s="44"/>
      <c r="B56" s="44" t="s">
        <v>69</v>
      </c>
      <c r="C56" s="8">
        <v>0.0</v>
      </c>
      <c r="D56" s="8"/>
      <c r="E56" s="41" t="str">
        <f t="shared" si="13"/>
        <v/>
      </c>
      <c r="F56" s="8">
        <v>0.0</v>
      </c>
      <c r="G56" s="8"/>
      <c r="H56" s="41" t="str">
        <f t="shared" si="14"/>
        <v/>
      </c>
      <c r="I56" s="8">
        <v>0.0</v>
      </c>
      <c r="J56" s="8"/>
      <c r="K56" s="41" t="str">
        <f t="shared" si="15"/>
        <v/>
      </c>
      <c r="L56" s="8">
        <v>0.0</v>
      </c>
      <c r="M56" s="8"/>
      <c r="N56" s="41" t="str">
        <f t="shared" si="16"/>
        <v/>
      </c>
      <c r="O56" s="8">
        <v>0.0</v>
      </c>
      <c r="P56" s="8"/>
      <c r="Q56" s="41" t="str">
        <f t="shared" si="17"/>
        <v/>
      </c>
      <c r="R56" s="8">
        <v>0.0</v>
      </c>
      <c r="S56" s="8"/>
      <c r="T56" s="41" t="str">
        <f t="shared" si="18"/>
        <v/>
      </c>
      <c r="U56" s="8">
        <v>0.0</v>
      </c>
      <c r="V56" s="8"/>
      <c r="W56" s="41" t="str">
        <f t="shared" si="19"/>
        <v/>
      </c>
      <c r="X56" s="8">
        <v>0.0</v>
      </c>
      <c r="Y56" s="8"/>
      <c r="Z56" s="41" t="str">
        <f t="shared" si="20"/>
        <v/>
      </c>
      <c r="AA56" s="8">
        <v>0.0</v>
      </c>
      <c r="AB56" s="8"/>
      <c r="AC56" s="41" t="str">
        <f t="shared" si="21"/>
        <v/>
      </c>
      <c r="AD56" s="8">
        <v>0.0</v>
      </c>
      <c r="AE56" s="8"/>
      <c r="AF56" s="41" t="str">
        <f t="shared" si="22"/>
        <v/>
      </c>
      <c r="AG56" s="8">
        <v>0.0</v>
      </c>
      <c r="AH56" s="8"/>
      <c r="AI56" s="41" t="str">
        <f t="shared" si="23"/>
        <v/>
      </c>
      <c r="AJ56" s="8">
        <v>1.0</v>
      </c>
      <c r="AK56" s="8"/>
      <c r="AL56" s="41" t="str">
        <f t="shared" si="24"/>
        <v/>
      </c>
    </row>
    <row r="57" ht="15.75" customHeight="1">
      <c r="A57" s="40" t="s">
        <v>75</v>
      </c>
      <c r="B57" s="40" t="s">
        <v>66</v>
      </c>
      <c r="C57" s="8">
        <v>5.0</v>
      </c>
      <c r="D57" s="8">
        <v>1.0</v>
      </c>
      <c r="E57" s="41">
        <f t="shared" si="13"/>
        <v>0.2</v>
      </c>
      <c r="F57" s="8">
        <v>5.0</v>
      </c>
      <c r="G57" s="8"/>
      <c r="H57" s="41" t="str">
        <f t="shared" si="14"/>
        <v/>
      </c>
      <c r="I57" s="8">
        <v>6.0</v>
      </c>
      <c r="J57" s="8"/>
      <c r="K57" s="41" t="str">
        <f t="shared" si="15"/>
        <v/>
      </c>
      <c r="L57" s="8">
        <v>6.0</v>
      </c>
      <c r="M57" s="8"/>
      <c r="N57" s="41" t="str">
        <f t="shared" si="16"/>
        <v/>
      </c>
      <c r="O57" s="8">
        <v>6.0</v>
      </c>
      <c r="P57" s="8"/>
      <c r="Q57" s="41" t="str">
        <f t="shared" si="17"/>
        <v/>
      </c>
      <c r="R57" s="8">
        <v>6.0</v>
      </c>
      <c r="S57" s="8"/>
      <c r="T57" s="41" t="str">
        <f t="shared" si="18"/>
        <v/>
      </c>
      <c r="U57" s="8">
        <v>6.0</v>
      </c>
      <c r="V57" s="8"/>
      <c r="W57" s="41" t="str">
        <f t="shared" si="19"/>
        <v/>
      </c>
      <c r="X57" s="8">
        <v>7.0</v>
      </c>
      <c r="Y57" s="8"/>
      <c r="Z57" s="41" t="str">
        <f t="shared" si="20"/>
        <v/>
      </c>
      <c r="AA57" s="8">
        <v>7.0</v>
      </c>
      <c r="AB57" s="8"/>
      <c r="AC57" s="41" t="str">
        <f t="shared" si="21"/>
        <v/>
      </c>
      <c r="AD57" s="8">
        <v>7.0</v>
      </c>
      <c r="AE57" s="8"/>
      <c r="AF57" s="41" t="str">
        <f t="shared" si="22"/>
        <v/>
      </c>
      <c r="AG57" s="8">
        <v>7.0</v>
      </c>
      <c r="AH57" s="8"/>
      <c r="AI57" s="41" t="str">
        <f t="shared" si="23"/>
        <v/>
      </c>
      <c r="AJ57" s="8">
        <v>8.0</v>
      </c>
      <c r="AK57" s="8"/>
      <c r="AL57" s="41" t="str">
        <f t="shared" si="24"/>
        <v/>
      </c>
    </row>
    <row r="58" ht="15.75" customHeight="1">
      <c r="A58" s="42"/>
      <c r="B58" s="42" t="s">
        <v>67</v>
      </c>
      <c r="C58" s="8">
        <v>2.0</v>
      </c>
      <c r="D58" s="8"/>
      <c r="E58" s="41" t="str">
        <f t="shared" si="13"/>
        <v/>
      </c>
      <c r="F58" s="8">
        <v>3.0</v>
      </c>
      <c r="G58" s="8"/>
      <c r="H58" s="41" t="str">
        <f t="shared" si="14"/>
        <v/>
      </c>
      <c r="I58" s="8">
        <v>3.0</v>
      </c>
      <c r="J58" s="8"/>
      <c r="K58" s="41" t="str">
        <f t="shared" si="15"/>
        <v/>
      </c>
      <c r="L58" s="8">
        <v>3.0</v>
      </c>
      <c r="M58" s="8"/>
      <c r="N58" s="41" t="str">
        <f t="shared" si="16"/>
        <v/>
      </c>
      <c r="O58" s="8">
        <v>3.0</v>
      </c>
      <c r="P58" s="8"/>
      <c r="Q58" s="41" t="str">
        <f t="shared" si="17"/>
        <v/>
      </c>
      <c r="R58" s="8">
        <v>4.0</v>
      </c>
      <c r="S58" s="8"/>
      <c r="T58" s="41" t="str">
        <f t="shared" si="18"/>
        <v/>
      </c>
      <c r="U58" s="8">
        <v>4.0</v>
      </c>
      <c r="V58" s="8"/>
      <c r="W58" s="41" t="str">
        <f t="shared" si="19"/>
        <v/>
      </c>
      <c r="X58" s="8">
        <v>4.0</v>
      </c>
      <c r="Y58" s="8"/>
      <c r="Z58" s="41" t="str">
        <f t="shared" si="20"/>
        <v/>
      </c>
      <c r="AA58" s="8">
        <v>4.0</v>
      </c>
      <c r="AB58" s="8"/>
      <c r="AC58" s="41" t="str">
        <f t="shared" si="21"/>
        <v/>
      </c>
      <c r="AD58" s="8">
        <v>4.0</v>
      </c>
      <c r="AE58" s="8"/>
      <c r="AF58" s="41" t="str">
        <f t="shared" si="22"/>
        <v/>
      </c>
      <c r="AG58" s="8">
        <v>4.0</v>
      </c>
      <c r="AH58" s="8"/>
      <c r="AI58" s="41" t="str">
        <f t="shared" si="23"/>
        <v/>
      </c>
      <c r="AJ58" s="8">
        <v>5.0</v>
      </c>
      <c r="AK58" s="8"/>
      <c r="AL58" s="41" t="str">
        <f t="shared" si="24"/>
        <v/>
      </c>
    </row>
    <row r="59" ht="15.75" customHeight="1">
      <c r="A59" s="43"/>
      <c r="B59" s="43" t="s">
        <v>68</v>
      </c>
      <c r="C59" s="8">
        <v>0.0</v>
      </c>
      <c r="D59" s="8"/>
      <c r="E59" s="41" t="str">
        <f t="shared" si="13"/>
        <v/>
      </c>
      <c r="F59" s="8">
        <v>1.0</v>
      </c>
      <c r="G59" s="8"/>
      <c r="H59" s="41" t="str">
        <f t="shared" si="14"/>
        <v/>
      </c>
      <c r="I59" s="8">
        <v>1.0</v>
      </c>
      <c r="J59" s="8"/>
      <c r="K59" s="41" t="str">
        <f t="shared" si="15"/>
        <v/>
      </c>
      <c r="L59" s="8">
        <v>1.0</v>
      </c>
      <c r="M59" s="8"/>
      <c r="N59" s="41" t="str">
        <f t="shared" si="16"/>
        <v/>
      </c>
      <c r="O59" s="8">
        <v>1.0</v>
      </c>
      <c r="P59" s="8"/>
      <c r="Q59" s="41" t="str">
        <f t="shared" si="17"/>
        <v/>
      </c>
      <c r="R59" s="8">
        <v>1.0</v>
      </c>
      <c r="S59" s="8"/>
      <c r="T59" s="41" t="str">
        <f t="shared" si="18"/>
        <v/>
      </c>
      <c r="U59" s="8">
        <v>1.0</v>
      </c>
      <c r="V59" s="8"/>
      <c r="W59" s="41" t="str">
        <f t="shared" si="19"/>
        <v/>
      </c>
      <c r="X59" s="8">
        <v>1.0</v>
      </c>
      <c r="Y59" s="8"/>
      <c r="Z59" s="41" t="str">
        <f t="shared" si="20"/>
        <v/>
      </c>
      <c r="AA59" s="8">
        <v>1.0</v>
      </c>
      <c r="AB59" s="8"/>
      <c r="AC59" s="41" t="str">
        <f t="shared" si="21"/>
        <v/>
      </c>
      <c r="AD59" s="8">
        <v>1.0</v>
      </c>
      <c r="AE59" s="8"/>
      <c r="AF59" s="41" t="str">
        <f t="shared" si="22"/>
        <v/>
      </c>
      <c r="AG59" s="8">
        <v>1.0</v>
      </c>
      <c r="AH59" s="8"/>
      <c r="AI59" s="41" t="str">
        <f t="shared" si="23"/>
        <v/>
      </c>
      <c r="AJ59" s="8">
        <v>1.0</v>
      </c>
      <c r="AK59" s="8"/>
      <c r="AL59" s="41" t="str">
        <f t="shared" si="24"/>
        <v/>
      </c>
    </row>
    <row r="60" ht="15.75" customHeight="1">
      <c r="A60" s="44"/>
      <c r="B60" s="44" t="s">
        <v>69</v>
      </c>
      <c r="C60" s="8">
        <v>0.0</v>
      </c>
      <c r="D60" s="8"/>
      <c r="E60" s="41" t="str">
        <f t="shared" si="13"/>
        <v/>
      </c>
      <c r="F60" s="8">
        <v>0.0</v>
      </c>
      <c r="G60" s="8"/>
      <c r="H60" s="41" t="str">
        <f t="shared" si="14"/>
        <v/>
      </c>
      <c r="I60" s="8">
        <v>0.0</v>
      </c>
      <c r="J60" s="8"/>
      <c r="K60" s="41" t="str">
        <f t="shared" si="15"/>
        <v/>
      </c>
      <c r="L60" s="8">
        <v>0.0</v>
      </c>
      <c r="M60" s="8"/>
      <c r="N60" s="41" t="str">
        <f t="shared" si="16"/>
        <v/>
      </c>
      <c r="O60" s="8">
        <v>0.0</v>
      </c>
      <c r="P60" s="8"/>
      <c r="Q60" s="41" t="str">
        <f t="shared" si="17"/>
        <v/>
      </c>
      <c r="R60" s="8">
        <v>0.0</v>
      </c>
      <c r="S60" s="8"/>
      <c r="T60" s="41" t="str">
        <f t="shared" si="18"/>
        <v/>
      </c>
      <c r="U60" s="8">
        <v>0.0</v>
      </c>
      <c r="V60" s="8"/>
      <c r="W60" s="41" t="str">
        <f t="shared" si="19"/>
        <v/>
      </c>
      <c r="X60" s="8">
        <v>0.0</v>
      </c>
      <c r="Y60" s="8"/>
      <c r="Z60" s="41" t="str">
        <f t="shared" si="20"/>
        <v/>
      </c>
      <c r="AA60" s="8">
        <v>0.0</v>
      </c>
      <c r="AB60" s="8"/>
      <c r="AC60" s="41" t="str">
        <f t="shared" si="21"/>
        <v/>
      </c>
      <c r="AD60" s="8">
        <v>0.0</v>
      </c>
      <c r="AE60" s="8"/>
      <c r="AF60" s="41" t="str">
        <f t="shared" si="22"/>
        <v/>
      </c>
      <c r="AG60" s="8">
        <v>0.0</v>
      </c>
      <c r="AH60" s="8"/>
      <c r="AI60" s="41" t="str">
        <f t="shared" si="23"/>
        <v/>
      </c>
      <c r="AJ60" s="8">
        <v>0.0</v>
      </c>
      <c r="AK60" s="8"/>
      <c r="AL60" s="41" t="str">
        <f t="shared" si="24"/>
        <v/>
      </c>
    </row>
    <row r="61" ht="15.75" customHeight="1">
      <c r="A61" s="40" t="s">
        <v>76</v>
      </c>
      <c r="B61" s="40" t="s">
        <v>66</v>
      </c>
      <c r="C61" s="8">
        <v>3.0</v>
      </c>
      <c r="D61" s="8">
        <v>4.0</v>
      </c>
      <c r="E61" s="41">
        <f t="shared" si="13"/>
        <v>1.333333333</v>
      </c>
      <c r="F61" s="8">
        <v>3.0</v>
      </c>
      <c r="G61" s="8"/>
      <c r="H61" s="41" t="str">
        <f t="shared" si="14"/>
        <v/>
      </c>
      <c r="I61" s="8">
        <v>3.0</v>
      </c>
      <c r="J61" s="8"/>
      <c r="K61" s="41" t="str">
        <f t="shared" si="15"/>
        <v/>
      </c>
      <c r="L61" s="8">
        <v>3.0</v>
      </c>
      <c r="M61" s="8"/>
      <c r="N61" s="41" t="str">
        <f t="shared" si="16"/>
        <v/>
      </c>
      <c r="O61" s="8">
        <v>4.0</v>
      </c>
      <c r="P61" s="8"/>
      <c r="Q61" s="41" t="str">
        <f t="shared" si="17"/>
        <v/>
      </c>
      <c r="R61" s="8">
        <v>4.0</v>
      </c>
      <c r="S61" s="8"/>
      <c r="T61" s="41" t="str">
        <f t="shared" si="18"/>
        <v/>
      </c>
      <c r="U61" s="8">
        <v>4.0</v>
      </c>
      <c r="V61" s="8"/>
      <c r="W61" s="41" t="str">
        <f t="shared" si="19"/>
        <v/>
      </c>
      <c r="X61" s="8">
        <v>4.0</v>
      </c>
      <c r="Y61" s="8"/>
      <c r="Z61" s="41" t="str">
        <f t="shared" si="20"/>
        <v/>
      </c>
      <c r="AA61" s="8">
        <v>4.0</v>
      </c>
      <c r="AB61" s="8"/>
      <c r="AC61" s="41" t="str">
        <f t="shared" si="21"/>
        <v/>
      </c>
      <c r="AD61" s="8">
        <v>4.0</v>
      </c>
      <c r="AE61" s="8"/>
      <c r="AF61" s="41" t="str">
        <f t="shared" si="22"/>
        <v/>
      </c>
      <c r="AG61" s="8">
        <v>4.0</v>
      </c>
      <c r="AH61" s="8"/>
      <c r="AI61" s="41" t="str">
        <f t="shared" si="23"/>
        <v/>
      </c>
      <c r="AJ61" s="8">
        <v>4.0</v>
      </c>
      <c r="AK61" s="8"/>
      <c r="AL61" s="41" t="str">
        <f t="shared" si="24"/>
        <v/>
      </c>
    </row>
    <row r="62" ht="15.75" customHeight="1">
      <c r="A62" s="42"/>
      <c r="B62" s="42" t="s">
        <v>67</v>
      </c>
      <c r="C62" s="8">
        <v>1.0</v>
      </c>
      <c r="D62" s="8"/>
      <c r="E62" s="41" t="str">
        <f t="shared" si="13"/>
        <v/>
      </c>
      <c r="F62" s="8">
        <v>2.0</v>
      </c>
      <c r="G62" s="8"/>
      <c r="H62" s="41" t="str">
        <f t="shared" si="14"/>
        <v/>
      </c>
      <c r="I62" s="8">
        <v>2.0</v>
      </c>
      <c r="J62" s="8"/>
      <c r="K62" s="41" t="str">
        <f t="shared" si="15"/>
        <v/>
      </c>
      <c r="L62" s="8">
        <v>2.0</v>
      </c>
      <c r="M62" s="8"/>
      <c r="N62" s="41" t="str">
        <f t="shared" si="16"/>
        <v/>
      </c>
      <c r="O62" s="8">
        <v>2.0</v>
      </c>
      <c r="P62" s="8"/>
      <c r="Q62" s="41" t="str">
        <f t="shared" si="17"/>
        <v/>
      </c>
      <c r="R62" s="8">
        <v>2.0</v>
      </c>
      <c r="S62" s="8"/>
      <c r="T62" s="41" t="str">
        <f t="shared" si="18"/>
        <v/>
      </c>
      <c r="U62" s="8">
        <v>2.0</v>
      </c>
      <c r="V62" s="8"/>
      <c r="W62" s="41" t="str">
        <f t="shared" si="19"/>
        <v/>
      </c>
      <c r="X62" s="8">
        <v>2.0</v>
      </c>
      <c r="Y62" s="8"/>
      <c r="Z62" s="41" t="str">
        <f t="shared" si="20"/>
        <v/>
      </c>
      <c r="AA62" s="8">
        <v>3.0</v>
      </c>
      <c r="AB62" s="8"/>
      <c r="AC62" s="41" t="str">
        <f t="shared" si="21"/>
        <v/>
      </c>
      <c r="AD62" s="8">
        <v>3.0</v>
      </c>
      <c r="AE62" s="8"/>
      <c r="AF62" s="41" t="str">
        <f t="shared" si="22"/>
        <v/>
      </c>
      <c r="AG62" s="8">
        <v>3.0</v>
      </c>
      <c r="AH62" s="8"/>
      <c r="AI62" s="41" t="str">
        <f t="shared" si="23"/>
        <v/>
      </c>
      <c r="AJ62" s="8">
        <v>3.0</v>
      </c>
      <c r="AK62" s="8"/>
      <c r="AL62" s="41" t="str">
        <f t="shared" si="24"/>
        <v/>
      </c>
    </row>
    <row r="63" ht="15.75" customHeight="1">
      <c r="A63" s="43"/>
      <c r="B63" s="43" t="s">
        <v>68</v>
      </c>
      <c r="C63" s="8">
        <v>0.0</v>
      </c>
      <c r="D63" s="8"/>
      <c r="E63" s="41" t="str">
        <f t="shared" si="13"/>
        <v/>
      </c>
      <c r="F63" s="8">
        <v>0.0</v>
      </c>
      <c r="G63" s="8"/>
      <c r="H63" s="41" t="str">
        <f t="shared" si="14"/>
        <v/>
      </c>
      <c r="I63" s="8">
        <v>0.0</v>
      </c>
      <c r="J63" s="8"/>
      <c r="K63" s="41" t="str">
        <f t="shared" si="15"/>
        <v/>
      </c>
      <c r="L63" s="8">
        <v>0.0</v>
      </c>
      <c r="M63" s="8"/>
      <c r="N63" s="41" t="str">
        <f t="shared" si="16"/>
        <v/>
      </c>
      <c r="O63" s="8">
        <v>0.0</v>
      </c>
      <c r="P63" s="8"/>
      <c r="Q63" s="41" t="str">
        <f t="shared" si="17"/>
        <v/>
      </c>
      <c r="R63" s="8">
        <v>0.0</v>
      </c>
      <c r="S63" s="8"/>
      <c r="T63" s="41" t="str">
        <f t="shared" si="18"/>
        <v/>
      </c>
      <c r="U63" s="8">
        <v>0.0</v>
      </c>
      <c r="V63" s="8"/>
      <c r="W63" s="41" t="str">
        <f t="shared" si="19"/>
        <v/>
      </c>
      <c r="X63" s="8">
        <v>1.0</v>
      </c>
      <c r="Y63" s="8"/>
      <c r="Z63" s="41" t="str">
        <f t="shared" si="20"/>
        <v/>
      </c>
      <c r="AA63" s="8">
        <v>1.0</v>
      </c>
      <c r="AB63" s="8"/>
      <c r="AC63" s="41" t="str">
        <f t="shared" si="21"/>
        <v/>
      </c>
      <c r="AD63" s="8">
        <v>1.0</v>
      </c>
      <c r="AE63" s="8"/>
      <c r="AF63" s="41" t="str">
        <f t="shared" si="22"/>
        <v/>
      </c>
      <c r="AG63" s="8">
        <v>1.0</v>
      </c>
      <c r="AH63" s="8"/>
      <c r="AI63" s="41" t="str">
        <f t="shared" si="23"/>
        <v/>
      </c>
      <c r="AJ63" s="8">
        <v>1.0</v>
      </c>
      <c r="AK63" s="8"/>
      <c r="AL63" s="41" t="str">
        <f t="shared" si="24"/>
        <v/>
      </c>
    </row>
    <row r="64" ht="15.75" customHeight="1">
      <c r="A64" s="44"/>
      <c r="B64" s="44" t="s">
        <v>69</v>
      </c>
      <c r="C64" s="8">
        <v>0.0</v>
      </c>
      <c r="D64" s="8"/>
      <c r="E64" s="41" t="str">
        <f t="shared" si="13"/>
        <v/>
      </c>
      <c r="F64" s="8">
        <v>0.0</v>
      </c>
      <c r="G64" s="8"/>
      <c r="H64" s="41" t="str">
        <f t="shared" si="14"/>
        <v/>
      </c>
      <c r="I64" s="8">
        <v>0.0</v>
      </c>
      <c r="J64" s="8"/>
      <c r="K64" s="41" t="str">
        <f t="shared" si="15"/>
        <v/>
      </c>
      <c r="L64" s="8">
        <v>0.0</v>
      </c>
      <c r="M64" s="8"/>
      <c r="N64" s="41" t="str">
        <f t="shared" si="16"/>
        <v/>
      </c>
      <c r="O64" s="8">
        <v>0.0</v>
      </c>
      <c r="P64" s="8"/>
      <c r="Q64" s="41" t="str">
        <f t="shared" si="17"/>
        <v/>
      </c>
      <c r="R64" s="8">
        <v>0.0</v>
      </c>
      <c r="S64" s="8"/>
      <c r="T64" s="41" t="str">
        <f t="shared" si="18"/>
        <v/>
      </c>
      <c r="U64" s="8">
        <v>0.0</v>
      </c>
      <c r="V64" s="8"/>
      <c r="W64" s="41" t="str">
        <f t="shared" si="19"/>
        <v/>
      </c>
      <c r="X64" s="8">
        <v>0.0</v>
      </c>
      <c r="Y64" s="8"/>
      <c r="Z64" s="41" t="str">
        <f t="shared" si="20"/>
        <v/>
      </c>
      <c r="AA64" s="8">
        <v>0.0</v>
      </c>
      <c r="AB64" s="8"/>
      <c r="AC64" s="41" t="str">
        <f t="shared" si="21"/>
        <v/>
      </c>
      <c r="AD64" s="8">
        <v>0.0</v>
      </c>
      <c r="AE64" s="8"/>
      <c r="AF64" s="41" t="str">
        <f t="shared" si="22"/>
        <v/>
      </c>
      <c r="AG64" s="8">
        <v>0.0</v>
      </c>
      <c r="AH64" s="8"/>
      <c r="AI64" s="41" t="str">
        <f t="shared" si="23"/>
        <v/>
      </c>
      <c r="AJ64" s="8">
        <v>0.0</v>
      </c>
      <c r="AK64" s="8"/>
      <c r="AL64" s="41" t="str">
        <f t="shared" si="24"/>
        <v/>
      </c>
    </row>
    <row r="65" ht="15.75" hidden="1" customHeight="1">
      <c r="A65" s="40" t="s">
        <v>77</v>
      </c>
      <c r="B65" s="40" t="s">
        <v>66</v>
      </c>
      <c r="C65" s="8">
        <v>5.0</v>
      </c>
      <c r="D65" s="8">
        <v>0.0</v>
      </c>
      <c r="E65" s="41">
        <f t="shared" si="13"/>
        <v>0</v>
      </c>
      <c r="F65" s="8">
        <v>5.0</v>
      </c>
      <c r="G65" s="8"/>
      <c r="H65" s="41" t="str">
        <f t="shared" si="14"/>
        <v/>
      </c>
      <c r="I65" s="8">
        <v>6.0</v>
      </c>
      <c r="J65" s="8"/>
      <c r="K65" s="41" t="str">
        <f t="shared" si="15"/>
        <v/>
      </c>
      <c r="L65" s="8">
        <v>6.0</v>
      </c>
      <c r="M65" s="8"/>
      <c r="N65" s="41" t="str">
        <f t="shared" si="16"/>
        <v/>
      </c>
      <c r="O65" s="8">
        <v>6.0</v>
      </c>
      <c r="P65" s="8"/>
      <c r="Q65" s="41" t="str">
        <f t="shared" si="17"/>
        <v/>
      </c>
      <c r="R65" s="8">
        <v>6.0</v>
      </c>
      <c r="S65" s="8"/>
      <c r="T65" s="41" t="str">
        <f t="shared" si="18"/>
        <v/>
      </c>
      <c r="U65" s="8">
        <v>6.0</v>
      </c>
      <c r="V65" s="8"/>
      <c r="W65" s="41" t="str">
        <f t="shared" si="19"/>
        <v/>
      </c>
      <c r="X65" s="8">
        <v>7.0</v>
      </c>
      <c r="Y65" s="8"/>
      <c r="Z65" s="41" t="str">
        <f t="shared" si="20"/>
        <v/>
      </c>
      <c r="AA65" s="8">
        <v>7.0</v>
      </c>
      <c r="AB65" s="8"/>
      <c r="AC65" s="41" t="str">
        <f t="shared" si="21"/>
        <v/>
      </c>
      <c r="AD65" s="8">
        <v>7.0</v>
      </c>
      <c r="AE65" s="8"/>
      <c r="AF65" s="41" t="str">
        <f t="shared" si="22"/>
        <v/>
      </c>
      <c r="AG65" s="8">
        <v>7.0</v>
      </c>
      <c r="AH65" s="8"/>
      <c r="AI65" s="41" t="str">
        <f t="shared" si="23"/>
        <v/>
      </c>
      <c r="AJ65" s="8">
        <v>8.0</v>
      </c>
      <c r="AK65" s="8"/>
      <c r="AL65" s="41" t="str">
        <f t="shared" si="24"/>
        <v/>
      </c>
    </row>
    <row r="66" ht="15.75" hidden="1" customHeight="1">
      <c r="A66" s="42"/>
      <c r="B66" s="42" t="s">
        <v>67</v>
      </c>
      <c r="C66" s="8">
        <v>2.0</v>
      </c>
      <c r="D66" s="8"/>
      <c r="E66" s="41" t="str">
        <f t="shared" si="13"/>
        <v/>
      </c>
      <c r="F66" s="8">
        <v>3.0</v>
      </c>
      <c r="G66" s="8"/>
      <c r="H66" s="41" t="str">
        <f t="shared" si="14"/>
        <v/>
      </c>
      <c r="I66" s="8">
        <v>3.0</v>
      </c>
      <c r="J66" s="8"/>
      <c r="K66" s="41" t="str">
        <f t="shared" si="15"/>
        <v/>
      </c>
      <c r="L66" s="8">
        <v>3.0</v>
      </c>
      <c r="M66" s="8"/>
      <c r="N66" s="41" t="str">
        <f t="shared" si="16"/>
        <v/>
      </c>
      <c r="O66" s="8">
        <v>3.0</v>
      </c>
      <c r="P66" s="8"/>
      <c r="Q66" s="41" t="str">
        <f t="shared" si="17"/>
        <v/>
      </c>
      <c r="R66" s="8">
        <v>4.0</v>
      </c>
      <c r="S66" s="8"/>
      <c r="T66" s="41" t="str">
        <f t="shared" si="18"/>
        <v/>
      </c>
      <c r="U66" s="8">
        <v>4.0</v>
      </c>
      <c r="V66" s="8"/>
      <c r="W66" s="41" t="str">
        <f t="shared" si="19"/>
        <v/>
      </c>
      <c r="X66" s="8">
        <v>4.0</v>
      </c>
      <c r="Y66" s="8"/>
      <c r="Z66" s="41" t="str">
        <f t="shared" si="20"/>
        <v/>
      </c>
      <c r="AA66" s="8">
        <v>4.0</v>
      </c>
      <c r="AB66" s="8"/>
      <c r="AC66" s="41" t="str">
        <f t="shared" si="21"/>
        <v/>
      </c>
      <c r="AD66" s="8">
        <v>4.0</v>
      </c>
      <c r="AE66" s="8"/>
      <c r="AF66" s="41" t="str">
        <f t="shared" si="22"/>
        <v/>
      </c>
      <c r="AG66" s="8">
        <v>4.0</v>
      </c>
      <c r="AH66" s="8"/>
      <c r="AI66" s="41" t="str">
        <f t="shared" si="23"/>
        <v/>
      </c>
      <c r="AJ66" s="8">
        <v>5.0</v>
      </c>
      <c r="AK66" s="8"/>
      <c r="AL66" s="41" t="str">
        <f t="shared" si="24"/>
        <v/>
      </c>
    </row>
    <row r="67" ht="15.75" hidden="1" customHeight="1">
      <c r="A67" s="43"/>
      <c r="B67" s="43" t="s">
        <v>68</v>
      </c>
      <c r="C67" s="8">
        <v>0.0</v>
      </c>
      <c r="D67" s="8"/>
      <c r="E67" s="41" t="str">
        <f t="shared" si="13"/>
        <v/>
      </c>
      <c r="F67" s="8">
        <v>1.0</v>
      </c>
      <c r="G67" s="8"/>
      <c r="H67" s="41" t="str">
        <f t="shared" si="14"/>
        <v/>
      </c>
      <c r="I67" s="8">
        <v>1.0</v>
      </c>
      <c r="J67" s="8"/>
      <c r="K67" s="41" t="str">
        <f t="shared" si="15"/>
        <v/>
      </c>
      <c r="L67" s="8">
        <v>1.0</v>
      </c>
      <c r="M67" s="8"/>
      <c r="N67" s="41" t="str">
        <f t="shared" si="16"/>
        <v/>
      </c>
      <c r="O67" s="8">
        <v>1.0</v>
      </c>
      <c r="P67" s="8"/>
      <c r="Q67" s="41" t="str">
        <f t="shared" si="17"/>
        <v/>
      </c>
      <c r="R67" s="8">
        <v>1.0</v>
      </c>
      <c r="S67" s="8"/>
      <c r="T67" s="41" t="str">
        <f t="shared" si="18"/>
        <v/>
      </c>
      <c r="U67" s="8">
        <v>1.0</v>
      </c>
      <c r="V67" s="8"/>
      <c r="W67" s="41" t="str">
        <f t="shared" si="19"/>
        <v/>
      </c>
      <c r="X67" s="8">
        <v>1.0</v>
      </c>
      <c r="Y67" s="8"/>
      <c r="Z67" s="41" t="str">
        <f t="shared" si="20"/>
        <v/>
      </c>
      <c r="AA67" s="8">
        <v>1.0</v>
      </c>
      <c r="AB67" s="8"/>
      <c r="AC67" s="41" t="str">
        <f t="shared" si="21"/>
        <v/>
      </c>
      <c r="AD67" s="8">
        <v>1.0</v>
      </c>
      <c r="AE67" s="8"/>
      <c r="AF67" s="41" t="str">
        <f t="shared" si="22"/>
        <v/>
      </c>
      <c r="AG67" s="8">
        <v>1.0</v>
      </c>
      <c r="AH67" s="8"/>
      <c r="AI67" s="41" t="str">
        <f t="shared" si="23"/>
        <v/>
      </c>
      <c r="AJ67" s="8">
        <v>1.0</v>
      </c>
      <c r="AK67" s="8"/>
      <c r="AL67" s="41" t="str">
        <f t="shared" si="24"/>
        <v/>
      </c>
    </row>
    <row r="68" ht="15.75" hidden="1" customHeight="1">
      <c r="A68" s="44"/>
      <c r="B68" s="44" t="s">
        <v>69</v>
      </c>
      <c r="C68" s="8">
        <v>0.0</v>
      </c>
      <c r="D68" s="8"/>
      <c r="E68" s="41" t="str">
        <f t="shared" si="13"/>
        <v/>
      </c>
      <c r="F68" s="8">
        <v>0.0</v>
      </c>
      <c r="G68" s="8"/>
      <c r="H68" s="41" t="str">
        <f t="shared" si="14"/>
        <v/>
      </c>
      <c r="I68" s="8">
        <v>0.0</v>
      </c>
      <c r="J68" s="8"/>
      <c r="K68" s="41" t="str">
        <f t="shared" si="15"/>
        <v/>
      </c>
      <c r="L68" s="8">
        <v>0.0</v>
      </c>
      <c r="M68" s="8"/>
      <c r="N68" s="41" t="str">
        <f t="shared" si="16"/>
        <v/>
      </c>
      <c r="O68" s="8">
        <v>0.0</v>
      </c>
      <c r="P68" s="8"/>
      <c r="Q68" s="41" t="str">
        <f t="shared" si="17"/>
        <v/>
      </c>
      <c r="R68" s="8">
        <v>0.0</v>
      </c>
      <c r="S68" s="8"/>
      <c r="T68" s="41" t="str">
        <f t="shared" si="18"/>
        <v/>
      </c>
      <c r="U68" s="8">
        <v>0.0</v>
      </c>
      <c r="V68" s="8"/>
      <c r="W68" s="41" t="str">
        <f t="shared" si="19"/>
        <v/>
      </c>
      <c r="X68" s="8">
        <v>0.0</v>
      </c>
      <c r="Y68" s="8"/>
      <c r="Z68" s="41" t="str">
        <f t="shared" si="20"/>
        <v/>
      </c>
      <c r="AA68" s="8">
        <v>0.0</v>
      </c>
      <c r="AB68" s="8"/>
      <c r="AC68" s="41" t="str">
        <f t="shared" si="21"/>
        <v/>
      </c>
      <c r="AD68" s="8">
        <v>0.0</v>
      </c>
      <c r="AE68" s="8"/>
      <c r="AF68" s="41" t="str">
        <f t="shared" si="22"/>
        <v/>
      </c>
      <c r="AG68" s="8">
        <v>0.0</v>
      </c>
      <c r="AH68" s="8"/>
      <c r="AI68" s="41" t="str">
        <f t="shared" si="23"/>
        <v/>
      </c>
      <c r="AJ68" s="8">
        <v>0.0</v>
      </c>
      <c r="AK68" s="8"/>
      <c r="AL68" s="41" t="str">
        <f t="shared" si="24"/>
        <v/>
      </c>
    </row>
    <row r="69" ht="15.75" hidden="1" customHeight="1">
      <c r="A69" s="40" t="s">
        <v>78</v>
      </c>
      <c r="B69" s="40" t="s">
        <v>66</v>
      </c>
      <c r="C69" s="8">
        <v>3.0</v>
      </c>
      <c r="D69" s="8">
        <v>0.0</v>
      </c>
      <c r="E69" s="41">
        <f t="shared" si="13"/>
        <v>0</v>
      </c>
      <c r="F69" s="8">
        <v>3.0</v>
      </c>
      <c r="G69" s="8"/>
      <c r="H69" s="41" t="str">
        <f t="shared" si="14"/>
        <v/>
      </c>
      <c r="I69" s="8">
        <v>3.0</v>
      </c>
      <c r="J69" s="8"/>
      <c r="K69" s="41" t="str">
        <f t="shared" si="15"/>
        <v/>
      </c>
      <c r="L69" s="8">
        <v>3.0</v>
      </c>
      <c r="M69" s="8"/>
      <c r="N69" s="41" t="str">
        <f t="shared" si="16"/>
        <v/>
      </c>
      <c r="O69" s="8">
        <v>4.0</v>
      </c>
      <c r="P69" s="8"/>
      <c r="Q69" s="41" t="str">
        <f t="shared" si="17"/>
        <v/>
      </c>
      <c r="R69" s="8">
        <v>4.0</v>
      </c>
      <c r="S69" s="8"/>
      <c r="T69" s="41" t="str">
        <f t="shared" si="18"/>
        <v/>
      </c>
      <c r="U69" s="8">
        <v>4.0</v>
      </c>
      <c r="V69" s="8"/>
      <c r="W69" s="41" t="str">
        <f t="shared" si="19"/>
        <v/>
      </c>
      <c r="X69" s="8">
        <v>4.0</v>
      </c>
      <c r="Y69" s="8"/>
      <c r="Z69" s="41" t="str">
        <f t="shared" si="20"/>
        <v/>
      </c>
      <c r="AA69" s="8">
        <v>4.0</v>
      </c>
      <c r="AB69" s="8"/>
      <c r="AC69" s="41" t="str">
        <f t="shared" si="21"/>
        <v/>
      </c>
      <c r="AD69" s="8">
        <v>4.0</v>
      </c>
      <c r="AE69" s="8"/>
      <c r="AF69" s="41" t="str">
        <f t="shared" si="22"/>
        <v/>
      </c>
      <c r="AG69" s="8">
        <v>4.0</v>
      </c>
      <c r="AH69" s="8"/>
      <c r="AI69" s="41" t="str">
        <f t="shared" si="23"/>
        <v/>
      </c>
      <c r="AJ69" s="8">
        <v>4.0</v>
      </c>
      <c r="AK69" s="8"/>
      <c r="AL69" s="41" t="str">
        <f t="shared" si="24"/>
        <v/>
      </c>
    </row>
    <row r="70" ht="15.75" hidden="1" customHeight="1">
      <c r="A70" s="42"/>
      <c r="B70" s="42" t="s">
        <v>67</v>
      </c>
      <c r="C70" s="8">
        <v>1.0</v>
      </c>
      <c r="D70" s="8"/>
      <c r="E70" s="41" t="str">
        <f t="shared" si="13"/>
        <v/>
      </c>
      <c r="F70" s="8">
        <v>2.0</v>
      </c>
      <c r="G70" s="8"/>
      <c r="H70" s="41" t="str">
        <f t="shared" si="14"/>
        <v/>
      </c>
      <c r="I70" s="8">
        <v>2.0</v>
      </c>
      <c r="J70" s="8"/>
      <c r="K70" s="41" t="str">
        <f t="shared" si="15"/>
        <v/>
      </c>
      <c r="L70" s="8">
        <v>2.0</v>
      </c>
      <c r="M70" s="8"/>
      <c r="N70" s="41" t="str">
        <f t="shared" si="16"/>
        <v/>
      </c>
      <c r="O70" s="8">
        <v>2.0</v>
      </c>
      <c r="P70" s="8"/>
      <c r="Q70" s="41" t="str">
        <f t="shared" si="17"/>
        <v/>
      </c>
      <c r="R70" s="8">
        <v>2.0</v>
      </c>
      <c r="S70" s="8"/>
      <c r="T70" s="41" t="str">
        <f t="shared" si="18"/>
        <v/>
      </c>
      <c r="U70" s="8">
        <v>2.0</v>
      </c>
      <c r="V70" s="8"/>
      <c r="W70" s="41" t="str">
        <f t="shared" si="19"/>
        <v/>
      </c>
      <c r="X70" s="8">
        <v>2.0</v>
      </c>
      <c r="Y70" s="8"/>
      <c r="Z70" s="41" t="str">
        <f t="shared" si="20"/>
        <v/>
      </c>
      <c r="AA70" s="8">
        <v>3.0</v>
      </c>
      <c r="AB70" s="8"/>
      <c r="AC70" s="41" t="str">
        <f t="shared" si="21"/>
        <v/>
      </c>
      <c r="AD70" s="8">
        <v>3.0</v>
      </c>
      <c r="AE70" s="8"/>
      <c r="AF70" s="41" t="str">
        <f t="shared" si="22"/>
        <v/>
      </c>
      <c r="AG70" s="8">
        <v>3.0</v>
      </c>
      <c r="AH70" s="8"/>
      <c r="AI70" s="41" t="str">
        <f t="shared" si="23"/>
        <v/>
      </c>
      <c r="AJ70" s="8">
        <v>3.0</v>
      </c>
      <c r="AK70" s="8"/>
      <c r="AL70" s="41" t="str">
        <f t="shared" si="24"/>
        <v/>
      </c>
    </row>
    <row r="71" ht="15.75" hidden="1" customHeight="1">
      <c r="A71" s="43"/>
      <c r="B71" s="43" t="s">
        <v>68</v>
      </c>
      <c r="C71" s="8">
        <v>0.0</v>
      </c>
      <c r="D71" s="8"/>
      <c r="E71" s="41" t="str">
        <f t="shared" si="13"/>
        <v/>
      </c>
      <c r="F71" s="8">
        <v>0.0</v>
      </c>
      <c r="G71" s="8"/>
      <c r="H71" s="41" t="str">
        <f t="shared" si="14"/>
        <v/>
      </c>
      <c r="I71" s="8">
        <v>0.0</v>
      </c>
      <c r="J71" s="8"/>
      <c r="K71" s="41" t="str">
        <f t="shared" si="15"/>
        <v/>
      </c>
      <c r="L71" s="8">
        <v>0.0</v>
      </c>
      <c r="M71" s="8"/>
      <c r="N71" s="41" t="str">
        <f t="shared" si="16"/>
        <v/>
      </c>
      <c r="O71" s="8">
        <v>0.0</v>
      </c>
      <c r="P71" s="8"/>
      <c r="Q71" s="41" t="str">
        <f t="shared" si="17"/>
        <v/>
      </c>
      <c r="R71" s="8">
        <v>0.0</v>
      </c>
      <c r="S71" s="8"/>
      <c r="T71" s="41" t="str">
        <f t="shared" si="18"/>
        <v/>
      </c>
      <c r="U71" s="8">
        <v>0.0</v>
      </c>
      <c r="V71" s="8"/>
      <c r="W71" s="41" t="str">
        <f t="shared" si="19"/>
        <v/>
      </c>
      <c r="X71" s="8">
        <v>1.0</v>
      </c>
      <c r="Y71" s="8"/>
      <c r="Z71" s="41" t="str">
        <f t="shared" si="20"/>
        <v/>
      </c>
      <c r="AA71" s="8">
        <v>1.0</v>
      </c>
      <c r="AB71" s="8"/>
      <c r="AC71" s="41" t="str">
        <f t="shared" si="21"/>
        <v/>
      </c>
      <c r="AD71" s="8">
        <v>1.0</v>
      </c>
      <c r="AE71" s="8"/>
      <c r="AF71" s="41" t="str">
        <f t="shared" si="22"/>
        <v/>
      </c>
      <c r="AG71" s="8">
        <v>1.0</v>
      </c>
      <c r="AH71" s="8"/>
      <c r="AI71" s="41" t="str">
        <f t="shared" si="23"/>
        <v/>
      </c>
      <c r="AJ71" s="8">
        <v>1.0</v>
      </c>
      <c r="AK71" s="8"/>
      <c r="AL71" s="41" t="str">
        <f t="shared" si="24"/>
        <v/>
      </c>
    </row>
    <row r="72" ht="15.75" hidden="1" customHeight="1">
      <c r="A72" s="44"/>
      <c r="B72" s="44" t="s">
        <v>69</v>
      </c>
      <c r="C72" s="8">
        <v>0.0</v>
      </c>
      <c r="D72" s="8"/>
      <c r="E72" s="41" t="str">
        <f t="shared" si="13"/>
        <v/>
      </c>
      <c r="F72" s="8">
        <v>0.0</v>
      </c>
      <c r="G72" s="8"/>
      <c r="H72" s="41" t="str">
        <f t="shared" si="14"/>
        <v/>
      </c>
      <c r="I72" s="8">
        <v>0.0</v>
      </c>
      <c r="J72" s="8"/>
      <c r="K72" s="41" t="str">
        <f t="shared" si="15"/>
        <v/>
      </c>
      <c r="L72" s="8">
        <v>0.0</v>
      </c>
      <c r="M72" s="8"/>
      <c r="N72" s="41" t="str">
        <f t="shared" si="16"/>
        <v/>
      </c>
      <c r="O72" s="8">
        <v>0.0</v>
      </c>
      <c r="P72" s="8"/>
      <c r="Q72" s="41" t="str">
        <f t="shared" si="17"/>
        <v/>
      </c>
      <c r="R72" s="8">
        <v>0.0</v>
      </c>
      <c r="S72" s="8"/>
      <c r="T72" s="41" t="str">
        <f t="shared" si="18"/>
        <v/>
      </c>
      <c r="U72" s="8">
        <v>0.0</v>
      </c>
      <c r="V72" s="8"/>
      <c r="W72" s="41" t="str">
        <f t="shared" si="19"/>
        <v/>
      </c>
      <c r="X72" s="8">
        <v>0.0</v>
      </c>
      <c r="Y72" s="8"/>
      <c r="Z72" s="41" t="str">
        <f t="shared" si="20"/>
        <v/>
      </c>
      <c r="AA72" s="8">
        <v>0.0</v>
      </c>
      <c r="AB72" s="8"/>
      <c r="AC72" s="41" t="str">
        <f t="shared" si="21"/>
        <v/>
      </c>
      <c r="AD72" s="8">
        <v>0.0</v>
      </c>
      <c r="AE72" s="8"/>
      <c r="AF72" s="41" t="str">
        <f t="shared" si="22"/>
        <v/>
      </c>
      <c r="AG72" s="8">
        <v>0.0</v>
      </c>
      <c r="AH72" s="8"/>
      <c r="AI72" s="41" t="str">
        <f t="shared" si="23"/>
        <v/>
      </c>
      <c r="AJ72" s="8">
        <v>0.0</v>
      </c>
      <c r="AK72" s="8"/>
      <c r="AL72" s="41" t="str">
        <f t="shared" si="24"/>
        <v/>
      </c>
    </row>
    <row r="73" ht="15.75" hidden="1" customHeight="1">
      <c r="A73" s="40" t="s">
        <v>79</v>
      </c>
      <c r="B73" s="40" t="s">
        <v>66</v>
      </c>
      <c r="C73" s="8">
        <v>10.0</v>
      </c>
      <c r="D73" s="8">
        <v>0.0</v>
      </c>
      <c r="E73" s="41">
        <f t="shared" si="13"/>
        <v>0</v>
      </c>
      <c r="F73" s="8">
        <v>11.0</v>
      </c>
      <c r="G73" s="8"/>
      <c r="H73" s="41" t="str">
        <f t="shared" si="14"/>
        <v/>
      </c>
      <c r="I73" s="8">
        <v>12.0</v>
      </c>
      <c r="J73" s="8"/>
      <c r="K73" s="41" t="str">
        <f t="shared" si="15"/>
        <v/>
      </c>
      <c r="L73" s="8">
        <v>12.0</v>
      </c>
      <c r="M73" s="8"/>
      <c r="N73" s="41" t="str">
        <f t="shared" si="16"/>
        <v/>
      </c>
      <c r="O73" s="8">
        <v>13.0</v>
      </c>
      <c r="P73" s="8"/>
      <c r="Q73" s="41" t="str">
        <f t="shared" si="17"/>
        <v/>
      </c>
      <c r="R73" s="8">
        <v>14.0</v>
      </c>
      <c r="S73" s="8"/>
      <c r="T73" s="41" t="str">
        <f t="shared" si="18"/>
        <v/>
      </c>
      <c r="U73" s="8">
        <v>14.0</v>
      </c>
      <c r="V73" s="8"/>
      <c r="W73" s="41" t="str">
        <f t="shared" si="19"/>
        <v/>
      </c>
      <c r="X73" s="8">
        <v>14.0</v>
      </c>
      <c r="Y73" s="8"/>
      <c r="Z73" s="41" t="str">
        <f t="shared" si="20"/>
        <v/>
      </c>
      <c r="AA73" s="8">
        <v>15.0</v>
      </c>
      <c r="AB73" s="8"/>
      <c r="AC73" s="41" t="str">
        <f t="shared" si="21"/>
        <v/>
      </c>
      <c r="AD73" s="8">
        <v>15.0</v>
      </c>
      <c r="AE73" s="8"/>
      <c r="AF73" s="41" t="str">
        <f t="shared" si="22"/>
        <v/>
      </c>
      <c r="AG73" s="8">
        <v>16.0</v>
      </c>
      <c r="AH73" s="8"/>
      <c r="AI73" s="41" t="str">
        <f t="shared" si="23"/>
        <v/>
      </c>
      <c r="AJ73" s="8">
        <v>16.0</v>
      </c>
      <c r="AK73" s="8"/>
      <c r="AL73" s="41" t="str">
        <f t="shared" si="24"/>
        <v/>
      </c>
    </row>
    <row r="74" ht="15.75" hidden="1" customHeight="1">
      <c r="A74" s="42"/>
      <c r="B74" s="42" t="s">
        <v>67</v>
      </c>
      <c r="C74" s="8">
        <v>5.0</v>
      </c>
      <c r="D74" s="8"/>
      <c r="E74" s="41" t="str">
        <f t="shared" si="13"/>
        <v/>
      </c>
      <c r="F74" s="8">
        <v>6.0</v>
      </c>
      <c r="G74" s="8"/>
      <c r="H74" s="41" t="str">
        <f t="shared" si="14"/>
        <v/>
      </c>
      <c r="I74" s="8">
        <v>6.0</v>
      </c>
      <c r="J74" s="8"/>
      <c r="K74" s="41" t="str">
        <f t="shared" si="15"/>
        <v/>
      </c>
      <c r="L74" s="8">
        <v>6.0</v>
      </c>
      <c r="M74" s="8"/>
      <c r="N74" s="41" t="str">
        <f t="shared" si="16"/>
        <v/>
      </c>
      <c r="O74" s="8">
        <v>7.0</v>
      </c>
      <c r="P74" s="8"/>
      <c r="Q74" s="41" t="str">
        <f t="shared" si="17"/>
        <v/>
      </c>
      <c r="R74" s="8">
        <v>8.0</v>
      </c>
      <c r="S74" s="8"/>
      <c r="T74" s="41" t="str">
        <f t="shared" si="18"/>
        <v/>
      </c>
      <c r="U74" s="8">
        <v>8.0</v>
      </c>
      <c r="V74" s="8"/>
      <c r="W74" s="41" t="str">
        <f t="shared" si="19"/>
        <v/>
      </c>
      <c r="X74" s="8">
        <v>8.0</v>
      </c>
      <c r="Y74" s="8"/>
      <c r="Z74" s="41" t="str">
        <f t="shared" si="20"/>
        <v/>
      </c>
      <c r="AA74" s="8">
        <v>9.0</v>
      </c>
      <c r="AB74" s="8"/>
      <c r="AC74" s="41" t="str">
        <f t="shared" si="21"/>
        <v/>
      </c>
      <c r="AD74" s="8">
        <v>9.0</v>
      </c>
      <c r="AE74" s="8"/>
      <c r="AF74" s="41" t="str">
        <f t="shared" si="22"/>
        <v/>
      </c>
      <c r="AG74" s="8">
        <v>10.0</v>
      </c>
      <c r="AH74" s="8"/>
      <c r="AI74" s="41" t="str">
        <f t="shared" si="23"/>
        <v/>
      </c>
      <c r="AJ74" s="8">
        <v>10.0</v>
      </c>
      <c r="AK74" s="8"/>
      <c r="AL74" s="41" t="str">
        <f t="shared" si="24"/>
        <v/>
      </c>
    </row>
    <row r="75" ht="15.75" hidden="1" customHeight="1">
      <c r="A75" s="43"/>
      <c r="B75" s="43" t="s">
        <v>68</v>
      </c>
      <c r="C75" s="8">
        <v>1.0</v>
      </c>
      <c r="D75" s="8"/>
      <c r="E75" s="41" t="str">
        <f t="shared" si="13"/>
        <v/>
      </c>
      <c r="F75" s="8">
        <v>1.0</v>
      </c>
      <c r="G75" s="8"/>
      <c r="H75" s="41" t="str">
        <f t="shared" si="14"/>
        <v/>
      </c>
      <c r="I75" s="8">
        <v>1.0</v>
      </c>
      <c r="J75" s="8"/>
      <c r="K75" s="41" t="str">
        <f t="shared" si="15"/>
        <v/>
      </c>
      <c r="L75" s="8">
        <v>1.0</v>
      </c>
      <c r="M75" s="8"/>
      <c r="N75" s="41" t="str">
        <f t="shared" si="16"/>
        <v/>
      </c>
      <c r="O75" s="8">
        <v>2.0</v>
      </c>
      <c r="P75" s="8"/>
      <c r="Q75" s="41" t="str">
        <f t="shared" si="17"/>
        <v/>
      </c>
      <c r="R75" s="8">
        <v>2.0</v>
      </c>
      <c r="S75" s="8"/>
      <c r="T75" s="41" t="str">
        <f t="shared" si="18"/>
        <v/>
      </c>
      <c r="U75" s="8">
        <v>2.0</v>
      </c>
      <c r="V75" s="8"/>
      <c r="W75" s="41" t="str">
        <f t="shared" si="19"/>
        <v/>
      </c>
      <c r="X75" s="8">
        <v>2.0</v>
      </c>
      <c r="Y75" s="8"/>
      <c r="Z75" s="41" t="str">
        <f t="shared" si="20"/>
        <v/>
      </c>
      <c r="AA75" s="8">
        <v>2.0</v>
      </c>
      <c r="AB75" s="8"/>
      <c r="AC75" s="41" t="str">
        <f t="shared" si="21"/>
        <v/>
      </c>
      <c r="AD75" s="8">
        <v>2.0</v>
      </c>
      <c r="AE75" s="8"/>
      <c r="AF75" s="41" t="str">
        <f t="shared" si="22"/>
        <v/>
      </c>
      <c r="AG75" s="8">
        <v>2.0</v>
      </c>
      <c r="AH75" s="8"/>
      <c r="AI75" s="41" t="str">
        <f t="shared" si="23"/>
        <v/>
      </c>
      <c r="AJ75" s="8">
        <v>2.0</v>
      </c>
      <c r="AK75" s="8"/>
      <c r="AL75" s="41" t="str">
        <f t="shared" si="24"/>
        <v/>
      </c>
    </row>
    <row r="76" ht="15.75" hidden="1" customHeight="1">
      <c r="A76" s="44"/>
      <c r="B76" s="44" t="s">
        <v>69</v>
      </c>
      <c r="C76" s="8">
        <v>0.0</v>
      </c>
      <c r="D76" s="8"/>
      <c r="E76" s="41" t="str">
        <f t="shared" si="13"/>
        <v/>
      </c>
      <c r="F76" s="8">
        <v>0.0</v>
      </c>
      <c r="G76" s="8"/>
      <c r="H76" s="41" t="str">
        <f t="shared" si="14"/>
        <v/>
      </c>
      <c r="I76" s="8">
        <v>0.0</v>
      </c>
      <c r="J76" s="8"/>
      <c r="K76" s="41" t="str">
        <f t="shared" si="15"/>
        <v/>
      </c>
      <c r="L76" s="8">
        <v>1.0</v>
      </c>
      <c r="M76" s="8"/>
      <c r="N76" s="41" t="str">
        <f t="shared" si="16"/>
        <v/>
      </c>
      <c r="O76" s="8">
        <v>1.0</v>
      </c>
      <c r="P76" s="8"/>
      <c r="Q76" s="41" t="str">
        <f t="shared" si="17"/>
        <v/>
      </c>
      <c r="R76" s="8">
        <v>1.0</v>
      </c>
      <c r="S76" s="8"/>
      <c r="T76" s="41" t="str">
        <f t="shared" si="18"/>
        <v/>
      </c>
      <c r="U76" s="8">
        <v>1.0</v>
      </c>
      <c r="V76" s="8"/>
      <c r="W76" s="41" t="str">
        <f t="shared" si="19"/>
        <v/>
      </c>
      <c r="X76" s="8">
        <v>1.0</v>
      </c>
      <c r="Y76" s="8"/>
      <c r="Z76" s="41" t="str">
        <f t="shared" si="20"/>
        <v/>
      </c>
      <c r="AA76" s="8">
        <v>1.0</v>
      </c>
      <c r="AB76" s="8"/>
      <c r="AC76" s="41" t="str">
        <f t="shared" si="21"/>
        <v/>
      </c>
      <c r="AD76" s="8">
        <v>1.0</v>
      </c>
      <c r="AE76" s="8"/>
      <c r="AF76" s="41" t="str">
        <f t="shared" si="22"/>
        <v/>
      </c>
      <c r="AG76" s="8">
        <v>1.0</v>
      </c>
      <c r="AH76" s="8"/>
      <c r="AI76" s="41" t="str">
        <f t="shared" si="23"/>
        <v/>
      </c>
      <c r="AJ76" s="8">
        <v>1.0</v>
      </c>
      <c r="AK76" s="8"/>
      <c r="AL76" s="41" t="str">
        <f t="shared" si="24"/>
        <v/>
      </c>
    </row>
    <row r="77" ht="15.75" customHeight="1">
      <c r="A77" s="48" t="s">
        <v>80</v>
      </c>
      <c r="B77" s="48"/>
      <c r="C77" s="48">
        <v>160.0</v>
      </c>
      <c r="D77" s="48">
        <f>IFERROR(SUM(D37,D41,D45,D49,D53,D57,D61,D65,D69,D73),"")</f>
        <v>128</v>
      </c>
      <c r="E77" s="49">
        <f t="shared" ref="E77:E80" si="25">IFERROR(IF(C77=0,"—",IF(D77="","",D77/C77)),"—")</f>
        <v>0.8</v>
      </c>
      <c r="F77" s="48">
        <v>175.0</v>
      </c>
      <c r="G77" s="48">
        <f>IFERROR(SUM(G37,G41,G45,G49,G53,G57,G61,G65,G69,G73),"")</f>
        <v>0</v>
      </c>
      <c r="H77" s="49">
        <f t="shared" ref="H77:H80" si="26">IFERROR(IF(F77=0,"—",IF(G77="","",G77/F77)),"—")</f>
        <v>0</v>
      </c>
      <c r="I77" s="48">
        <v>185.0</v>
      </c>
      <c r="J77" s="48">
        <f>IFERROR(SUM(J37,J41,J45,J49,J53,J57,J61,J65,J69,J73),"")</f>
        <v>0</v>
      </c>
      <c r="K77" s="49">
        <f t="shared" ref="K77:K80" si="27">IFERROR(IF(I77=0,"—",IF(J77="","",J77/I77)),"—")</f>
        <v>0</v>
      </c>
      <c r="L77" s="48">
        <v>185.0</v>
      </c>
      <c r="M77" s="48">
        <f>IFERROR(SUM(M37,M41,M45,M49,M53,M57,M61,M65,M69,M73),"")</f>
        <v>0</v>
      </c>
      <c r="N77" s="49">
        <f t="shared" ref="N77:N80" si="28">IFERROR(IF(L77=0,"—",IF(M77="","",M77/L77)),"—")</f>
        <v>0</v>
      </c>
      <c r="O77" s="48">
        <v>195.0</v>
      </c>
      <c r="P77" s="48">
        <f>IFERROR(SUM(P37,P41,P45,P49,P53,P57,P61,P65,P69,P73),"")</f>
        <v>0</v>
      </c>
      <c r="Q77" s="49">
        <f t="shared" ref="Q77:Q80" si="29">IFERROR(IF(O77=0,"—",IF(P77="","",P77/O77)),"—")</f>
        <v>0</v>
      </c>
      <c r="R77" s="48">
        <v>210.0</v>
      </c>
      <c r="S77" s="48">
        <f>IFERROR(SUM(S37,S41,S45,S49,S53,S57,S61,S65,S69,S73),"")</f>
        <v>0</v>
      </c>
      <c r="T77" s="49">
        <f t="shared" ref="T77:T80" si="30">IFERROR(IF(R77=0,"—",IF(S77="","",S77/R77)),"—")</f>
        <v>0</v>
      </c>
      <c r="U77" s="48">
        <v>210.0</v>
      </c>
      <c r="V77" s="48">
        <f>IFERROR(SUM(V37,V41,V45,V49,V53,V57,V61,V65,V69,V73),"")</f>
        <v>0</v>
      </c>
      <c r="W77" s="49">
        <f t="shared" ref="W77:W80" si="31">IFERROR(IF(U77=0,"—",IF(V77="","",V77/U77)),"—")</f>
        <v>0</v>
      </c>
      <c r="X77" s="48">
        <v>220.0</v>
      </c>
      <c r="Y77" s="48">
        <f>IFERROR(SUM(Y37,Y41,Y45,Y49,Y53,Y57,Y61,Y65,Y69,Y73),"")</f>
        <v>0</v>
      </c>
      <c r="Z77" s="49">
        <f t="shared" ref="Z77:Z80" si="32">IFERROR(IF(X77=0,"—",IF(Y77="","",Y77/X77)),"—")</f>
        <v>0</v>
      </c>
      <c r="AA77" s="48">
        <v>235.0</v>
      </c>
      <c r="AB77" s="48">
        <f>IFERROR(SUM(AB37,AB41,AB45,AB49,AB53,AB57,AB61,AB65,AB69,AB73),"")</f>
        <v>0</v>
      </c>
      <c r="AC77" s="49">
        <f t="shared" ref="AC77:AC80" si="33">IFERROR(IF(AA77=0,"—",IF(AB77="","",AB77/AA77)),"—")</f>
        <v>0</v>
      </c>
      <c r="AD77" s="48">
        <v>230.0</v>
      </c>
      <c r="AE77" s="48">
        <f>IFERROR(SUM(AE37,AE41,AE45,AE49,AE53,AE57,AE61,AE65,AE69,AE73),"")</f>
        <v>0</v>
      </c>
      <c r="AF77" s="49">
        <f t="shared" ref="AF77:AF80" si="34">IFERROR(IF(AD77=0,"—",IF(AE77="","",AE77/AD77)),"—")</f>
        <v>0</v>
      </c>
      <c r="AG77" s="48">
        <v>240.0</v>
      </c>
      <c r="AH77" s="48">
        <f>IFERROR(SUM(AH37,AH41,AH45,AH49,AH53,AH57,AH61,AH65,AH69,AH73),"")</f>
        <v>0</v>
      </c>
      <c r="AI77" s="49">
        <f t="shared" ref="AI77:AI80" si="35">IFERROR(IF(AG77=0,"—",IF(AH77="","",AH77/AG77)),"—")</f>
        <v>0</v>
      </c>
      <c r="AJ77" s="48">
        <v>250.0</v>
      </c>
      <c r="AK77" s="48">
        <f>IFERROR(SUM(AK37,AK41,AK45,AK49,AK53,AK57,AK61,AK65,AK69,AK73),"")</f>
        <v>0</v>
      </c>
      <c r="AL77" s="49">
        <f t="shared" ref="AL77:AL80" si="36">IFERROR(IF(AJ77=0,"—",IF(AK77="","",AK77/AJ77)),"—")</f>
        <v>0</v>
      </c>
    </row>
    <row r="78" ht="15.75" customHeight="1">
      <c r="A78" s="42" t="s">
        <v>81</v>
      </c>
      <c r="B78" s="42"/>
      <c r="C78" s="42">
        <v>80.0</v>
      </c>
      <c r="D78" s="42">
        <v>99.0</v>
      </c>
      <c r="E78" s="50">
        <f t="shared" si="25"/>
        <v>1.2375</v>
      </c>
      <c r="F78" s="42">
        <v>90.0</v>
      </c>
      <c r="G78" s="42"/>
      <c r="H78" s="50" t="str">
        <f t="shared" si="26"/>
        <v/>
      </c>
      <c r="I78" s="42">
        <v>100.0</v>
      </c>
      <c r="J78" s="42"/>
      <c r="K78" s="50" t="str">
        <f t="shared" si="27"/>
        <v/>
      </c>
      <c r="L78" s="42">
        <v>100.0</v>
      </c>
      <c r="M78" s="42"/>
      <c r="N78" s="50" t="str">
        <f t="shared" si="28"/>
        <v/>
      </c>
      <c r="O78" s="42">
        <v>110.0</v>
      </c>
      <c r="P78" s="42"/>
      <c r="Q78" s="50" t="str">
        <f t="shared" si="29"/>
        <v/>
      </c>
      <c r="R78" s="42">
        <v>120.0</v>
      </c>
      <c r="S78" s="42"/>
      <c r="T78" s="50" t="str">
        <f t="shared" si="30"/>
        <v/>
      </c>
      <c r="U78" s="42">
        <v>120.0</v>
      </c>
      <c r="V78" s="42"/>
      <c r="W78" s="50" t="str">
        <f t="shared" si="31"/>
        <v/>
      </c>
      <c r="X78" s="42">
        <v>130.0</v>
      </c>
      <c r="Y78" s="42"/>
      <c r="Z78" s="50" t="str">
        <f t="shared" si="32"/>
        <v/>
      </c>
      <c r="AA78" s="42">
        <v>140.0</v>
      </c>
      <c r="AB78" s="42"/>
      <c r="AC78" s="50" t="str">
        <f t="shared" si="33"/>
        <v/>
      </c>
      <c r="AD78" s="42">
        <v>140.0</v>
      </c>
      <c r="AE78" s="42"/>
      <c r="AF78" s="50" t="str">
        <f t="shared" si="34"/>
        <v/>
      </c>
      <c r="AG78" s="42">
        <v>150.0</v>
      </c>
      <c r="AH78" s="42"/>
      <c r="AI78" s="50" t="str">
        <f t="shared" si="35"/>
        <v/>
      </c>
      <c r="AJ78" s="42">
        <v>160.0</v>
      </c>
      <c r="AK78" s="42"/>
      <c r="AL78" s="50" t="str">
        <f t="shared" si="36"/>
        <v/>
      </c>
    </row>
    <row r="79" ht="15.75" customHeight="1">
      <c r="A79" s="42" t="s">
        <v>82</v>
      </c>
      <c r="B79" s="42"/>
      <c r="C79" s="42">
        <v>16.0</v>
      </c>
      <c r="D79" s="42">
        <v>24.0</v>
      </c>
      <c r="E79" s="50">
        <f t="shared" si="25"/>
        <v>1.5</v>
      </c>
      <c r="F79" s="42">
        <v>18.0</v>
      </c>
      <c r="G79" s="42"/>
      <c r="H79" s="50" t="str">
        <f t="shared" si="26"/>
        <v/>
      </c>
      <c r="I79" s="42">
        <v>20.0</v>
      </c>
      <c r="J79" s="42"/>
      <c r="K79" s="50" t="str">
        <f t="shared" si="27"/>
        <v/>
      </c>
      <c r="L79" s="42">
        <v>22.0</v>
      </c>
      <c r="M79" s="42"/>
      <c r="N79" s="50" t="str">
        <f t="shared" si="28"/>
        <v/>
      </c>
      <c r="O79" s="42">
        <v>24.0</v>
      </c>
      <c r="P79" s="42"/>
      <c r="Q79" s="50" t="str">
        <f t="shared" si="29"/>
        <v/>
      </c>
      <c r="R79" s="42">
        <v>26.0</v>
      </c>
      <c r="S79" s="42"/>
      <c r="T79" s="50" t="str">
        <f t="shared" si="30"/>
        <v/>
      </c>
      <c r="U79" s="42">
        <v>26.0</v>
      </c>
      <c r="V79" s="42"/>
      <c r="W79" s="50" t="str">
        <f t="shared" si="31"/>
        <v/>
      </c>
      <c r="X79" s="42">
        <v>28.0</v>
      </c>
      <c r="Y79" s="42"/>
      <c r="Z79" s="50" t="str">
        <f t="shared" si="32"/>
        <v/>
      </c>
      <c r="AA79" s="42">
        <v>30.0</v>
      </c>
      <c r="AB79" s="42"/>
      <c r="AC79" s="50" t="str">
        <f t="shared" si="33"/>
        <v/>
      </c>
      <c r="AD79" s="42">
        <v>32.0</v>
      </c>
      <c r="AE79" s="42"/>
      <c r="AF79" s="50" t="str">
        <f t="shared" si="34"/>
        <v/>
      </c>
      <c r="AG79" s="42">
        <v>34.0</v>
      </c>
      <c r="AH79" s="42"/>
      <c r="AI79" s="50" t="str">
        <f t="shared" si="35"/>
        <v/>
      </c>
      <c r="AJ79" s="42">
        <v>36.0</v>
      </c>
      <c r="AK79" s="42"/>
      <c r="AL79" s="50" t="str">
        <f t="shared" si="36"/>
        <v/>
      </c>
    </row>
    <row r="80" ht="15.75" customHeight="1">
      <c r="A80" s="48" t="s">
        <v>83</v>
      </c>
      <c r="B80" s="48"/>
      <c r="C80" s="48">
        <v>4.0</v>
      </c>
      <c r="D80" s="48">
        <v>5.0</v>
      </c>
      <c r="E80" s="49">
        <f t="shared" si="25"/>
        <v>1.25</v>
      </c>
      <c r="F80" s="48">
        <v>6.0</v>
      </c>
      <c r="G80" s="48">
        <f>IFERROR(SUM(G40,G44,G48,G52,G56,G60,G64,G68,G72,G76),"")</f>
        <v>0</v>
      </c>
      <c r="H80" s="49">
        <f t="shared" si="26"/>
        <v>0</v>
      </c>
      <c r="I80" s="48">
        <v>7.0</v>
      </c>
      <c r="J80" s="48">
        <f>IFERROR(SUM(J40,J44,J48,J52,J56,J60,J64,J68,J72,J76),"")</f>
        <v>0</v>
      </c>
      <c r="K80" s="49">
        <f t="shared" si="27"/>
        <v>0</v>
      </c>
      <c r="L80" s="48">
        <v>8.0</v>
      </c>
      <c r="M80" s="48">
        <f>IFERROR(SUM(M40,M44,M48,M52,M56,M60,M64,M68,M72,M76),"")</f>
        <v>0</v>
      </c>
      <c r="N80" s="49">
        <f t="shared" si="28"/>
        <v>0</v>
      </c>
      <c r="O80" s="48">
        <v>9.0</v>
      </c>
      <c r="P80" s="48">
        <f>IFERROR(SUM(P40,P44,P48,P52,P56,P60,P64,P68,P72,P76),"")</f>
        <v>0</v>
      </c>
      <c r="Q80" s="49">
        <f t="shared" si="29"/>
        <v>0</v>
      </c>
      <c r="R80" s="48">
        <v>10.0</v>
      </c>
      <c r="S80" s="48">
        <f>IFERROR(SUM(S40,S44,S48,S52,S56,S60,S64,S68,S72,S76),"")</f>
        <v>0</v>
      </c>
      <c r="T80" s="49">
        <f t="shared" si="30"/>
        <v>0</v>
      </c>
      <c r="U80" s="48">
        <v>10.0</v>
      </c>
      <c r="V80" s="48">
        <f>IFERROR(SUM(V40,V44,V48,V52,V56,V60,V64,V68,V72,V76),"")</f>
        <v>0</v>
      </c>
      <c r="W80" s="49">
        <f t="shared" si="31"/>
        <v>0</v>
      </c>
      <c r="X80" s="48">
        <v>10.0</v>
      </c>
      <c r="Y80" s="48">
        <f>IFERROR(SUM(Y40,Y44,Y48,Y52,Y56,Y60,Y64,Y68,Y72,Y76),"")</f>
        <v>0</v>
      </c>
      <c r="Z80" s="49">
        <f t="shared" si="32"/>
        <v>0</v>
      </c>
      <c r="AA80" s="48">
        <v>11.0</v>
      </c>
      <c r="AB80" s="48">
        <f>IFERROR(SUM(AB40,AB44,AB48,AB52,AB56,AB60,AB64,AB68,AB72,AB76),"")</f>
        <v>0</v>
      </c>
      <c r="AC80" s="49">
        <f t="shared" si="33"/>
        <v>0</v>
      </c>
      <c r="AD80" s="48">
        <v>12.0</v>
      </c>
      <c r="AE80" s="48">
        <f>IFERROR(SUM(AE40,AE44,AE48,AE52,AE56,AE60,AE64,AE68,AE72,AE76),"")</f>
        <v>0</v>
      </c>
      <c r="AF80" s="49">
        <f t="shared" si="34"/>
        <v>0</v>
      </c>
      <c r="AG80" s="48">
        <v>13.0</v>
      </c>
      <c r="AH80" s="48">
        <f>IFERROR(SUM(AH40,AH44,AH48,AH52,AH56,AH60,AH64,AH68,AH72,AH76),"")</f>
        <v>0</v>
      </c>
      <c r="AI80" s="49">
        <f t="shared" si="35"/>
        <v>0</v>
      </c>
      <c r="AJ80" s="48">
        <v>14.0</v>
      </c>
      <c r="AK80" s="48">
        <f>IFERROR(SUM(AK40,AK44,AK48,AK52,AK56,AK60,AK64,AK68,AK72,AK76),"")</f>
        <v>0</v>
      </c>
      <c r="AL80" s="49">
        <f t="shared" si="36"/>
        <v>0</v>
      </c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I2:K2"/>
    <mergeCell ref="L2:N2"/>
    <mergeCell ref="A33:B33"/>
    <mergeCell ref="A35:AL35"/>
    <mergeCell ref="A45:B45"/>
    <mergeCell ref="A54:B54"/>
    <mergeCell ref="O2:Q2"/>
    <mergeCell ref="R2:T2"/>
    <mergeCell ref="U2:W2"/>
    <mergeCell ref="X2:Z2"/>
    <mergeCell ref="AA2:AC2"/>
    <mergeCell ref="AD2:AF2"/>
    <mergeCell ref="AG2:AI2"/>
    <mergeCell ref="AJ2:AL2"/>
    <mergeCell ref="A1:B1"/>
    <mergeCell ref="C1:K1"/>
    <mergeCell ref="L1:T1"/>
    <mergeCell ref="U1:AC1"/>
    <mergeCell ref="AD1:AL1"/>
    <mergeCell ref="C2:E2"/>
    <mergeCell ref="F2:H2"/>
  </mergeCells>
  <conditionalFormatting sqref="E4:E33">
    <cfRule type="cellIs" dxfId="0" priority="1" operator="greaterThanOrEqual">
      <formula>0.9</formula>
    </cfRule>
  </conditionalFormatting>
  <conditionalFormatting sqref="E4:E33">
    <cfRule type="cellIs" dxfId="1" priority="2" operator="between">
      <formula>0.7</formula>
      <formula>0.8999</formula>
    </cfRule>
  </conditionalFormatting>
  <conditionalFormatting sqref="E4:E33">
    <cfRule type="cellIs" dxfId="2" priority="3" operator="lessThan">
      <formula>0.7</formula>
    </cfRule>
  </conditionalFormatting>
  <conditionalFormatting sqref="E37:E54">
    <cfRule type="cellIs" dxfId="0" priority="4" operator="greaterThanOrEqual">
      <formula>0.9</formula>
    </cfRule>
  </conditionalFormatting>
  <conditionalFormatting sqref="E37:E54">
    <cfRule type="cellIs" dxfId="1" priority="5" operator="between">
      <formula>0.7</formula>
      <formula>0.8999</formula>
    </cfRule>
  </conditionalFormatting>
  <conditionalFormatting sqref="E37:E54">
    <cfRule type="cellIs" dxfId="2" priority="6" operator="lessThan">
      <formula>0.7</formula>
    </cfRule>
  </conditionalFormatting>
  <conditionalFormatting sqref="H4:H33">
    <cfRule type="cellIs" dxfId="0" priority="7" operator="greaterThanOrEqual">
      <formula>0.9</formula>
    </cfRule>
  </conditionalFormatting>
  <conditionalFormatting sqref="H4:H33">
    <cfRule type="cellIs" dxfId="1" priority="8" operator="between">
      <formula>0.7</formula>
      <formula>0.8999</formula>
    </cfRule>
  </conditionalFormatting>
  <conditionalFormatting sqref="H4:H33">
    <cfRule type="cellIs" dxfId="2" priority="9" operator="lessThan">
      <formula>0.7</formula>
    </cfRule>
  </conditionalFormatting>
  <conditionalFormatting sqref="H37:H54">
    <cfRule type="cellIs" dxfId="0" priority="10" operator="greaterThanOrEqual">
      <formula>0.9</formula>
    </cfRule>
  </conditionalFormatting>
  <conditionalFormatting sqref="H37:H54">
    <cfRule type="cellIs" dxfId="1" priority="11" operator="between">
      <formula>0.7</formula>
      <formula>0.8999</formula>
    </cfRule>
  </conditionalFormatting>
  <conditionalFormatting sqref="H37:H54">
    <cfRule type="cellIs" dxfId="2" priority="12" operator="lessThan">
      <formula>0.7</formula>
    </cfRule>
  </conditionalFormatting>
  <conditionalFormatting sqref="K4:K33">
    <cfRule type="cellIs" dxfId="0" priority="13" operator="greaterThanOrEqual">
      <formula>0.9</formula>
    </cfRule>
  </conditionalFormatting>
  <conditionalFormatting sqref="K4:K33">
    <cfRule type="cellIs" dxfId="1" priority="14" operator="between">
      <formula>0.7</formula>
      <formula>0.8999</formula>
    </cfRule>
  </conditionalFormatting>
  <conditionalFormatting sqref="K4:K33">
    <cfRule type="cellIs" dxfId="2" priority="15" operator="lessThan">
      <formula>0.7</formula>
    </cfRule>
  </conditionalFormatting>
  <conditionalFormatting sqref="K37:K54">
    <cfRule type="cellIs" dxfId="0" priority="16" operator="greaterThanOrEqual">
      <formula>0.9</formula>
    </cfRule>
  </conditionalFormatting>
  <conditionalFormatting sqref="K37:K54">
    <cfRule type="cellIs" dxfId="1" priority="17" operator="between">
      <formula>0.7</formula>
      <formula>0.8999</formula>
    </cfRule>
  </conditionalFormatting>
  <conditionalFormatting sqref="K37:K54">
    <cfRule type="cellIs" dxfId="2" priority="18" operator="lessThan">
      <formula>0.7</formula>
    </cfRule>
  </conditionalFormatting>
  <conditionalFormatting sqref="N4:N33">
    <cfRule type="cellIs" dxfId="0" priority="19" operator="greaterThanOrEqual">
      <formula>0.9</formula>
    </cfRule>
  </conditionalFormatting>
  <conditionalFormatting sqref="N4:N33">
    <cfRule type="cellIs" dxfId="1" priority="20" operator="between">
      <formula>0.7</formula>
      <formula>0.8999</formula>
    </cfRule>
  </conditionalFormatting>
  <conditionalFormatting sqref="N4:N33">
    <cfRule type="cellIs" dxfId="2" priority="21" operator="lessThan">
      <formula>0.7</formula>
    </cfRule>
  </conditionalFormatting>
  <conditionalFormatting sqref="N37:N54">
    <cfRule type="cellIs" dxfId="0" priority="22" operator="greaterThanOrEqual">
      <formula>0.9</formula>
    </cfRule>
  </conditionalFormatting>
  <conditionalFormatting sqref="N37:N54">
    <cfRule type="cellIs" dxfId="1" priority="23" operator="between">
      <formula>0.7</formula>
      <formula>0.8999</formula>
    </cfRule>
  </conditionalFormatting>
  <conditionalFormatting sqref="N37:N54">
    <cfRule type="cellIs" dxfId="2" priority="24" operator="lessThan">
      <formula>0.7</formula>
    </cfRule>
  </conditionalFormatting>
  <conditionalFormatting sqref="Q4:Q33">
    <cfRule type="cellIs" dxfId="0" priority="25" operator="greaterThanOrEqual">
      <formula>0.9</formula>
    </cfRule>
  </conditionalFormatting>
  <conditionalFormatting sqref="Q4:Q33">
    <cfRule type="cellIs" dxfId="1" priority="26" operator="between">
      <formula>0.7</formula>
      <formula>0.8999</formula>
    </cfRule>
  </conditionalFormatting>
  <conditionalFormatting sqref="Q4:Q33">
    <cfRule type="cellIs" dxfId="2" priority="27" operator="lessThan">
      <formula>0.7</formula>
    </cfRule>
  </conditionalFormatting>
  <conditionalFormatting sqref="Q37:Q54">
    <cfRule type="cellIs" dxfId="0" priority="28" operator="greaterThanOrEqual">
      <formula>0.9</formula>
    </cfRule>
  </conditionalFormatting>
  <conditionalFormatting sqref="Q37:Q54">
    <cfRule type="cellIs" dxfId="1" priority="29" operator="between">
      <formula>0.7</formula>
      <formula>0.8999</formula>
    </cfRule>
  </conditionalFormatting>
  <conditionalFormatting sqref="Q37:Q54">
    <cfRule type="cellIs" dxfId="2" priority="30" operator="lessThan">
      <formula>0.7</formula>
    </cfRule>
  </conditionalFormatting>
  <conditionalFormatting sqref="T4:T33">
    <cfRule type="cellIs" dxfId="0" priority="31" operator="greaterThanOrEqual">
      <formula>0.9</formula>
    </cfRule>
  </conditionalFormatting>
  <conditionalFormatting sqref="T4:T33">
    <cfRule type="cellIs" dxfId="1" priority="32" operator="between">
      <formula>0.7</formula>
      <formula>0.8999</formula>
    </cfRule>
  </conditionalFormatting>
  <conditionalFormatting sqref="T4:T33">
    <cfRule type="cellIs" dxfId="2" priority="33" operator="lessThan">
      <formula>0.7</formula>
    </cfRule>
  </conditionalFormatting>
  <conditionalFormatting sqref="T37:T54">
    <cfRule type="cellIs" dxfId="0" priority="34" operator="greaterThanOrEqual">
      <formula>0.9</formula>
    </cfRule>
  </conditionalFormatting>
  <conditionalFormatting sqref="T37:T54">
    <cfRule type="cellIs" dxfId="1" priority="35" operator="between">
      <formula>0.7</formula>
      <formula>0.8999</formula>
    </cfRule>
  </conditionalFormatting>
  <conditionalFormatting sqref="T37:T54">
    <cfRule type="cellIs" dxfId="2" priority="36" operator="lessThan">
      <formula>0.7</formula>
    </cfRule>
  </conditionalFormatting>
  <conditionalFormatting sqref="W4:W33">
    <cfRule type="cellIs" dxfId="0" priority="37" operator="greaterThanOrEqual">
      <formula>0.9</formula>
    </cfRule>
  </conditionalFormatting>
  <conditionalFormatting sqref="W4:W33">
    <cfRule type="cellIs" dxfId="1" priority="38" operator="between">
      <formula>0.7</formula>
      <formula>0.8999</formula>
    </cfRule>
  </conditionalFormatting>
  <conditionalFormatting sqref="W4:W33">
    <cfRule type="cellIs" dxfId="2" priority="39" operator="lessThan">
      <formula>0.7</formula>
    </cfRule>
  </conditionalFormatting>
  <conditionalFormatting sqref="W37:W54">
    <cfRule type="cellIs" dxfId="0" priority="40" operator="greaterThanOrEqual">
      <formula>0.9</formula>
    </cfRule>
  </conditionalFormatting>
  <conditionalFormatting sqref="W37:W54">
    <cfRule type="cellIs" dxfId="1" priority="41" operator="between">
      <formula>0.7</formula>
      <formula>0.8999</formula>
    </cfRule>
  </conditionalFormatting>
  <conditionalFormatting sqref="W37:W54">
    <cfRule type="cellIs" dxfId="2" priority="42" operator="lessThan">
      <formula>0.7</formula>
    </cfRule>
  </conditionalFormatting>
  <conditionalFormatting sqref="Z4:Z33">
    <cfRule type="cellIs" dxfId="0" priority="43" operator="greaterThanOrEqual">
      <formula>0.9</formula>
    </cfRule>
  </conditionalFormatting>
  <conditionalFormatting sqref="Z4:Z33">
    <cfRule type="cellIs" dxfId="1" priority="44" operator="between">
      <formula>0.7</formula>
      <formula>0.8999</formula>
    </cfRule>
  </conditionalFormatting>
  <conditionalFormatting sqref="Z4:Z33">
    <cfRule type="cellIs" dxfId="2" priority="45" operator="lessThan">
      <formula>0.7</formula>
    </cfRule>
  </conditionalFormatting>
  <conditionalFormatting sqref="Z37:Z54">
    <cfRule type="cellIs" dxfId="0" priority="46" operator="greaterThanOrEqual">
      <formula>0.9</formula>
    </cfRule>
  </conditionalFormatting>
  <conditionalFormatting sqref="Z37:Z54">
    <cfRule type="cellIs" dxfId="1" priority="47" operator="between">
      <formula>0.7</formula>
      <formula>0.8999</formula>
    </cfRule>
  </conditionalFormatting>
  <conditionalFormatting sqref="Z37:Z54">
    <cfRule type="cellIs" dxfId="2" priority="48" operator="lessThan">
      <formula>0.7</formula>
    </cfRule>
  </conditionalFormatting>
  <conditionalFormatting sqref="AC4:AC33">
    <cfRule type="cellIs" dxfId="0" priority="49" operator="greaterThanOrEqual">
      <formula>0.9</formula>
    </cfRule>
  </conditionalFormatting>
  <conditionalFormatting sqref="AC4:AC33">
    <cfRule type="cellIs" dxfId="1" priority="50" operator="between">
      <formula>0.7</formula>
      <formula>0.8999</formula>
    </cfRule>
  </conditionalFormatting>
  <conditionalFormatting sqref="AC4:AC33">
    <cfRule type="cellIs" dxfId="2" priority="51" operator="lessThan">
      <formula>0.7</formula>
    </cfRule>
  </conditionalFormatting>
  <conditionalFormatting sqref="AC37:AC54">
    <cfRule type="cellIs" dxfId="0" priority="52" operator="greaterThanOrEqual">
      <formula>0.9</formula>
    </cfRule>
  </conditionalFormatting>
  <conditionalFormatting sqref="AC37:AC54">
    <cfRule type="cellIs" dxfId="1" priority="53" operator="between">
      <formula>0.7</formula>
      <formula>0.8999</formula>
    </cfRule>
  </conditionalFormatting>
  <conditionalFormatting sqref="AC37:AC54">
    <cfRule type="cellIs" dxfId="2" priority="54" operator="lessThan">
      <formula>0.7</formula>
    </cfRule>
  </conditionalFormatting>
  <conditionalFormatting sqref="AF4:AF33">
    <cfRule type="cellIs" dxfId="0" priority="55" operator="greaterThanOrEqual">
      <formula>0.9</formula>
    </cfRule>
  </conditionalFormatting>
  <conditionalFormatting sqref="AF4:AF33">
    <cfRule type="cellIs" dxfId="1" priority="56" operator="between">
      <formula>0.7</formula>
      <formula>0.8999</formula>
    </cfRule>
  </conditionalFormatting>
  <conditionalFormatting sqref="AF4:AF33">
    <cfRule type="cellIs" dxfId="2" priority="57" operator="lessThan">
      <formula>0.7</formula>
    </cfRule>
  </conditionalFormatting>
  <conditionalFormatting sqref="AF37:AF54">
    <cfRule type="cellIs" dxfId="0" priority="58" operator="greaterThanOrEqual">
      <formula>0.9</formula>
    </cfRule>
  </conditionalFormatting>
  <conditionalFormatting sqref="AF37:AF54">
    <cfRule type="cellIs" dxfId="1" priority="59" operator="between">
      <formula>0.7</formula>
      <formula>0.8999</formula>
    </cfRule>
  </conditionalFormatting>
  <conditionalFormatting sqref="AF37:AF54">
    <cfRule type="cellIs" dxfId="2" priority="60" operator="lessThan">
      <formula>0.7</formula>
    </cfRule>
  </conditionalFormatting>
  <conditionalFormatting sqref="AI4:AI33">
    <cfRule type="cellIs" dxfId="0" priority="61" operator="greaterThanOrEqual">
      <formula>0.9</formula>
    </cfRule>
  </conditionalFormatting>
  <conditionalFormatting sqref="AI4:AI33">
    <cfRule type="cellIs" dxfId="1" priority="62" operator="between">
      <formula>0.7</formula>
      <formula>0.8999</formula>
    </cfRule>
  </conditionalFormatting>
  <conditionalFormatting sqref="AI4:AI33">
    <cfRule type="cellIs" dxfId="2" priority="63" operator="lessThan">
      <formula>0.7</formula>
    </cfRule>
  </conditionalFormatting>
  <conditionalFormatting sqref="AI37:AI54">
    <cfRule type="cellIs" dxfId="0" priority="64" operator="greaterThanOrEqual">
      <formula>0.9</formula>
    </cfRule>
  </conditionalFormatting>
  <conditionalFormatting sqref="AI37:AI54">
    <cfRule type="cellIs" dxfId="1" priority="65" operator="between">
      <formula>0.7</formula>
      <formula>0.8999</formula>
    </cfRule>
  </conditionalFormatting>
  <conditionalFormatting sqref="AI37:AI54">
    <cfRule type="cellIs" dxfId="2" priority="66" operator="lessThan">
      <formula>0.7</formula>
    </cfRule>
  </conditionalFormatting>
  <conditionalFormatting sqref="AL4:AL33">
    <cfRule type="cellIs" dxfId="0" priority="67" operator="greaterThanOrEqual">
      <formula>0.9</formula>
    </cfRule>
  </conditionalFormatting>
  <conditionalFormatting sqref="AL4:AL33">
    <cfRule type="cellIs" dxfId="1" priority="68" operator="between">
      <formula>0.7</formula>
      <formula>0.8999</formula>
    </cfRule>
  </conditionalFormatting>
  <conditionalFormatting sqref="AL4:AL33">
    <cfRule type="cellIs" dxfId="2" priority="69" operator="lessThan">
      <formula>0.7</formula>
    </cfRule>
  </conditionalFormatting>
  <conditionalFormatting sqref="AL37:AL54">
    <cfRule type="cellIs" dxfId="0" priority="70" operator="greaterThanOrEqual">
      <formula>0.9</formula>
    </cfRule>
  </conditionalFormatting>
  <conditionalFormatting sqref="AL37:AL54">
    <cfRule type="cellIs" dxfId="1" priority="71" operator="between">
      <formula>0.7</formula>
      <formula>0.8999</formula>
    </cfRule>
  </conditionalFormatting>
  <conditionalFormatting sqref="AL37:AL54">
    <cfRule type="cellIs" dxfId="2" priority="72" operator="lessThan">
      <formula>0.7</formula>
    </cfRule>
  </conditionalFormatting>
  <conditionalFormatting sqref="E37:E80">
    <cfRule type="cellIs" dxfId="0" priority="73" operator="greaterThanOrEqual">
      <formula>0.9</formula>
    </cfRule>
  </conditionalFormatting>
  <conditionalFormatting sqref="E37:E80">
    <cfRule type="cellIs" dxfId="1" priority="74" operator="between">
      <formula>0.7</formula>
      <formula>0.8999</formula>
    </cfRule>
  </conditionalFormatting>
  <conditionalFormatting sqref="E37:E80">
    <cfRule type="cellIs" dxfId="2" priority="75" operator="lessThan">
      <formula>0.7</formula>
    </cfRule>
  </conditionalFormatting>
  <conditionalFormatting sqref="E37:E80">
    <cfRule type="cellIs" dxfId="0" priority="76" operator="greaterThanOrEqual">
      <formula>0.9</formula>
    </cfRule>
  </conditionalFormatting>
  <conditionalFormatting sqref="E37:E80">
    <cfRule type="cellIs" dxfId="1" priority="77" operator="between">
      <formula>0.7</formula>
      <formula>0.8999</formula>
    </cfRule>
  </conditionalFormatting>
  <conditionalFormatting sqref="E37:E80">
    <cfRule type="cellIs" dxfId="2" priority="78" operator="lessThan">
      <formula>0.7</formula>
    </cfRule>
  </conditionalFormatting>
  <conditionalFormatting sqref="H37:H80">
    <cfRule type="cellIs" dxfId="0" priority="79" operator="greaterThanOrEqual">
      <formula>0.9</formula>
    </cfRule>
  </conditionalFormatting>
  <conditionalFormatting sqref="H37:H80">
    <cfRule type="cellIs" dxfId="1" priority="80" operator="between">
      <formula>0.7</formula>
      <formula>0.8999</formula>
    </cfRule>
  </conditionalFormatting>
  <conditionalFormatting sqref="H37:H80">
    <cfRule type="cellIs" dxfId="2" priority="81" operator="lessThan">
      <formula>0.7</formula>
    </cfRule>
  </conditionalFormatting>
  <conditionalFormatting sqref="H37:H80">
    <cfRule type="cellIs" dxfId="0" priority="82" operator="greaterThanOrEqual">
      <formula>0.9</formula>
    </cfRule>
  </conditionalFormatting>
  <conditionalFormatting sqref="H37:H80">
    <cfRule type="cellIs" dxfId="1" priority="83" operator="between">
      <formula>0.7</formula>
      <formula>0.8999</formula>
    </cfRule>
  </conditionalFormatting>
  <conditionalFormatting sqref="H37:H80">
    <cfRule type="cellIs" dxfId="2" priority="84" operator="lessThan">
      <formula>0.7</formula>
    </cfRule>
  </conditionalFormatting>
  <conditionalFormatting sqref="K37:K80">
    <cfRule type="cellIs" dxfId="0" priority="85" operator="greaterThanOrEqual">
      <formula>0.9</formula>
    </cfRule>
  </conditionalFormatting>
  <conditionalFormatting sqref="K37:K80">
    <cfRule type="cellIs" dxfId="1" priority="86" operator="between">
      <formula>0.7</formula>
      <formula>0.8999</formula>
    </cfRule>
  </conditionalFormatting>
  <conditionalFormatting sqref="K37:K80">
    <cfRule type="cellIs" dxfId="2" priority="87" operator="lessThan">
      <formula>0.7</formula>
    </cfRule>
  </conditionalFormatting>
  <conditionalFormatting sqref="K37:K80">
    <cfRule type="cellIs" dxfId="0" priority="88" operator="greaterThanOrEqual">
      <formula>0.9</formula>
    </cfRule>
  </conditionalFormatting>
  <conditionalFormatting sqref="K37:K80">
    <cfRule type="cellIs" dxfId="1" priority="89" operator="between">
      <formula>0.7</formula>
      <formula>0.8999</formula>
    </cfRule>
  </conditionalFormatting>
  <conditionalFormatting sqref="K37:K80">
    <cfRule type="cellIs" dxfId="2" priority="90" operator="lessThan">
      <formula>0.7</formula>
    </cfRule>
  </conditionalFormatting>
  <conditionalFormatting sqref="N37:N80">
    <cfRule type="cellIs" dxfId="0" priority="91" operator="greaterThanOrEqual">
      <formula>0.9</formula>
    </cfRule>
  </conditionalFormatting>
  <conditionalFormatting sqref="N37:N80">
    <cfRule type="cellIs" dxfId="1" priority="92" operator="between">
      <formula>0.7</formula>
      <formula>0.8999</formula>
    </cfRule>
  </conditionalFormatting>
  <conditionalFormatting sqref="N37:N80">
    <cfRule type="cellIs" dxfId="2" priority="93" operator="lessThan">
      <formula>0.7</formula>
    </cfRule>
  </conditionalFormatting>
  <conditionalFormatting sqref="N37:N80">
    <cfRule type="cellIs" dxfId="0" priority="94" operator="greaterThanOrEqual">
      <formula>0.9</formula>
    </cfRule>
  </conditionalFormatting>
  <conditionalFormatting sqref="N37:N80">
    <cfRule type="cellIs" dxfId="1" priority="95" operator="between">
      <formula>0.7</formula>
      <formula>0.8999</formula>
    </cfRule>
  </conditionalFormatting>
  <conditionalFormatting sqref="N37:N80">
    <cfRule type="cellIs" dxfId="2" priority="96" operator="lessThan">
      <formula>0.7</formula>
    </cfRule>
  </conditionalFormatting>
  <conditionalFormatting sqref="Q37:Q80">
    <cfRule type="cellIs" dxfId="0" priority="97" operator="greaterThanOrEqual">
      <formula>0.9</formula>
    </cfRule>
  </conditionalFormatting>
  <conditionalFormatting sqref="Q37:Q80">
    <cfRule type="cellIs" dxfId="1" priority="98" operator="between">
      <formula>0.7</formula>
      <formula>0.8999</formula>
    </cfRule>
  </conditionalFormatting>
  <conditionalFormatting sqref="Q37:Q80">
    <cfRule type="cellIs" dxfId="2" priority="99" operator="lessThan">
      <formula>0.7</formula>
    </cfRule>
  </conditionalFormatting>
  <conditionalFormatting sqref="Q37:Q80">
    <cfRule type="cellIs" dxfId="0" priority="100" operator="greaterThanOrEqual">
      <formula>0.9</formula>
    </cfRule>
  </conditionalFormatting>
  <conditionalFormatting sqref="Q37:Q80">
    <cfRule type="cellIs" dxfId="1" priority="101" operator="between">
      <formula>0.7</formula>
      <formula>0.8999</formula>
    </cfRule>
  </conditionalFormatting>
  <conditionalFormatting sqref="Q37:Q80">
    <cfRule type="cellIs" dxfId="2" priority="102" operator="lessThan">
      <formula>0.7</formula>
    </cfRule>
  </conditionalFormatting>
  <conditionalFormatting sqref="T37:T80">
    <cfRule type="cellIs" dxfId="0" priority="103" operator="greaterThanOrEqual">
      <formula>0.9</formula>
    </cfRule>
  </conditionalFormatting>
  <conditionalFormatting sqref="T37:T80">
    <cfRule type="cellIs" dxfId="1" priority="104" operator="between">
      <formula>0.7</formula>
      <formula>0.8999</formula>
    </cfRule>
  </conditionalFormatting>
  <conditionalFormatting sqref="T37:T80">
    <cfRule type="cellIs" dxfId="2" priority="105" operator="lessThan">
      <formula>0.7</formula>
    </cfRule>
  </conditionalFormatting>
  <conditionalFormatting sqref="T37:T80">
    <cfRule type="cellIs" dxfId="0" priority="106" operator="greaterThanOrEqual">
      <formula>0.9</formula>
    </cfRule>
  </conditionalFormatting>
  <conditionalFormatting sqref="T37:T80">
    <cfRule type="cellIs" dxfId="1" priority="107" operator="between">
      <formula>0.7</formula>
      <formula>0.8999</formula>
    </cfRule>
  </conditionalFormatting>
  <conditionalFormatting sqref="T37:T80">
    <cfRule type="cellIs" dxfId="2" priority="108" operator="lessThan">
      <formula>0.7</formula>
    </cfRule>
  </conditionalFormatting>
  <conditionalFormatting sqref="W37:W80">
    <cfRule type="cellIs" dxfId="0" priority="109" operator="greaterThanOrEqual">
      <formula>0.9</formula>
    </cfRule>
  </conditionalFormatting>
  <conditionalFormatting sqref="W37:W80">
    <cfRule type="cellIs" dxfId="1" priority="110" operator="between">
      <formula>0.7</formula>
      <formula>0.8999</formula>
    </cfRule>
  </conditionalFormatting>
  <conditionalFormatting sqref="W37:W80">
    <cfRule type="cellIs" dxfId="2" priority="111" operator="lessThan">
      <formula>0.7</formula>
    </cfRule>
  </conditionalFormatting>
  <conditionalFormatting sqref="W37:W80">
    <cfRule type="cellIs" dxfId="0" priority="112" operator="greaterThanOrEqual">
      <formula>0.9</formula>
    </cfRule>
  </conditionalFormatting>
  <conditionalFormatting sqref="W37:W80">
    <cfRule type="cellIs" dxfId="1" priority="113" operator="between">
      <formula>0.7</formula>
      <formula>0.8999</formula>
    </cfRule>
  </conditionalFormatting>
  <conditionalFormatting sqref="W37:W80">
    <cfRule type="cellIs" dxfId="2" priority="114" operator="lessThan">
      <formula>0.7</formula>
    </cfRule>
  </conditionalFormatting>
  <conditionalFormatting sqref="Z37:Z80">
    <cfRule type="cellIs" dxfId="0" priority="115" operator="greaterThanOrEqual">
      <formula>0.9</formula>
    </cfRule>
  </conditionalFormatting>
  <conditionalFormatting sqref="Z37:Z80">
    <cfRule type="cellIs" dxfId="1" priority="116" operator="between">
      <formula>0.7</formula>
      <formula>0.8999</formula>
    </cfRule>
  </conditionalFormatting>
  <conditionalFormatting sqref="Z37:Z80">
    <cfRule type="cellIs" dxfId="2" priority="117" operator="lessThan">
      <formula>0.7</formula>
    </cfRule>
  </conditionalFormatting>
  <conditionalFormatting sqref="Z37:Z80">
    <cfRule type="cellIs" dxfId="0" priority="118" operator="greaterThanOrEqual">
      <formula>0.9</formula>
    </cfRule>
  </conditionalFormatting>
  <conditionalFormatting sqref="Z37:Z80">
    <cfRule type="cellIs" dxfId="1" priority="119" operator="between">
      <formula>0.7</formula>
      <formula>0.8999</formula>
    </cfRule>
  </conditionalFormatting>
  <conditionalFormatting sqref="Z37:Z80">
    <cfRule type="cellIs" dxfId="2" priority="120" operator="lessThan">
      <formula>0.7</formula>
    </cfRule>
  </conditionalFormatting>
  <conditionalFormatting sqref="AC37:AC80">
    <cfRule type="cellIs" dxfId="0" priority="121" operator="greaterThanOrEqual">
      <formula>0.9</formula>
    </cfRule>
  </conditionalFormatting>
  <conditionalFormatting sqref="AC37:AC80">
    <cfRule type="cellIs" dxfId="1" priority="122" operator="between">
      <formula>0.7</formula>
      <formula>0.8999</formula>
    </cfRule>
  </conditionalFormatting>
  <conditionalFormatting sqref="AC37:AC80">
    <cfRule type="cellIs" dxfId="2" priority="123" operator="lessThan">
      <formula>0.7</formula>
    </cfRule>
  </conditionalFormatting>
  <conditionalFormatting sqref="AC37:AC80">
    <cfRule type="cellIs" dxfId="0" priority="124" operator="greaterThanOrEqual">
      <formula>0.9</formula>
    </cfRule>
  </conditionalFormatting>
  <conditionalFormatting sqref="AC37:AC80">
    <cfRule type="cellIs" dxfId="1" priority="125" operator="between">
      <formula>0.7</formula>
      <formula>0.8999</formula>
    </cfRule>
  </conditionalFormatting>
  <conditionalFormatting sqref="AC37:AC80">
    <cfRule type="cellIs" dxfId="2" priority="126" operator="lessThan">
      <formula>0.7</formula>
    </cfRule>
  </conditionalFormatting>
  <conditionalFormatting sqref="AF37:AF80">
    <cfRule type="cellIs" dxfId="0" priority="127" operator="greaterThanOrEqual">
      <formula>0.9</formula>
    </cfRule>
  </conditionalFormatting>
  <conditionalFormatting sqref="AF37:AF80">
    <cfRule type="cellIs" dxfId="1" priority="128" operator="between">
      <formula>0.7</formula>
      <formula>0.8999</formula>
    </cfRule>
  </conditionalFormatting>
  <conditionalFormatting sqref="AF37:AF80">
    <cfRule type="cellIs" dxfId="2" priority="129" operator="lessThan">
      <formula>0.7</formula>
    </cfRule>
  </conditionalFormatting>
  <conditionalFormatting sqref="AF37:AF80">
    <cfRule type="cellIs" dxfId="0" priority="130" operator="greaterThanOrEqual">
      <formula>0.9</formula>
    </cfRule>
  </conditionalFormatting>
  <conditionalFormatting sqref="AF37:AF80">
    <cfRule type="cellIs" dxfId="1" priority="131" operator="between">
      <formula>0.7</formula>
      <formula>0.8999</formula>
    </cfRule>
  </conditionalFormatting>
  <conditionalFormatting sqref="AF37:AF80">
    <cfRule type="cellIs" dxfId="2" priority="132" operator="lessThan">
      <formula>0.7</formula>
    </cfRule>
  </conditionalFormatting>
  <conditionalFormatting sqref="AI37:AI80">
    <cfRule type="cellIs" dxfId="0" priority="133" operator="greaterThanOrEqual">
      <formula>0.9</formula>
    </cfRule>
  </conditionalFormatting>
  <conditionalFormatting sqref="AI37:AI80">
    <cfRule type="cellIs" dxfId="1" priority="134" operator="between">
      <formula>0.7</formula>
      <formula>0.8999</formula>
    </cfRule>
  </conditionalFormatting>
  <conditionalFormatting sqref="AI37:AI80">
    <cfRule type="cellIs" dxfId="2" priority="135" operator="lessThan">
      <formula>0.7</formula>
    </cfRule>
  </conditionalFormatting>
  <conditionalFormatting sqref="AI37:AI80">
    <cfRule type="cellIs" dxfId="0" priority="136" operator="greaterThanOrEqual">
      <formula>0.9</formula>
    </cfRule>
  </conditionalFormatting>
  <conditionalFormatting sqref="AI37:AI80">
    <cfRule type="cellIs" dxfId="1" priority="137" operator="between">
      <formula>0.7</formula>
      <formula>0.8999</formula>
    </cfRule>
  </conditionalFormatting>
  <conditionalFormatting sqref="AI37:AI80">
    <cfRule type="cellIs" dxfId="2" priority="138" operator="lessThan">
      <formula>0.7</formula>
    </cfRule>
  </conditionalFormatting>
  <conditionalFormatting sqref="AL37:AL80">
    <cfRule type="cellIs" dxfId="0" priority="139" operator="greaterThanOrEqual">
      <formula>0.9</formula>
    </cfRule>
  </conditionalFormatting>
  <conditionalFormatting sqref="AL37:AL80">
    <cfRule type="cellIs" dxfId="1" priority="140" operator="between">
      <formula>0.7</formula>
      <formula>0.8999</formula>
    </cfRule>
  </conditionalFormatting>
  <conditionalFormatting sqref="AL37:AL80">
    <cfRule type="cellIs" dxfId="2" priority="141" operator="lessThan">
      <formula>0.7</formula>
    </cfRule>
  </conditionalFormatting>
  <conditionalFormatting sqref="AL37:AL80">
    <cfRule type="cellIs" dxfId="0" priority="142" operator="greaterThanOrEqual">
      <formula>0.9</formula>
    </cfRule>
  </conditionalFormatting>
  <conditionalFormatting sqref="AL37:AL80">
    <cfRule type="cellIs" dxfId="1" priority="143" operator="between">
      <formula>0.7</formula>
      <formula>0.8999</formula>
    </cfRule>
  </conditionalFormatting>
  <conditionalFormatting sqref="AL37:AL80">
    <cfRule type="cellIs" dxfId="2" priority="144" operator="lessThan">
      <formula>0.7</formula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6" width="5.0"/>
  </cols>
  <sheetData>
    <row r="1" ht="30.0" customHeight="1">
      <c r="A1" s="51" t="s">
        <v>84</v>
      </c>
      <c r="B1" s="52"/>
      <c r="C1" s="52"/>
      <c r="D1" s="52"/>
      <c r="E1" s="52"/>
      <c r="F1" s="53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54"/>
      <c r="B2" s="52"/>
      <c r="C2" s="52"/>
      <c r="D2" s="52"/>
      <c r="E2" s="52"/>
      <c r="F2" s="53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55" t="s">
        <v>85</v>
      </c>
      <c r="B3" s="52"/>
      <c r="C3" s="52"/>
      <c r="D3" s="52"/>
      <c r="E3" s="52"/>
      <c r="F3" s="53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1.75" customHeight="1">
      <c r="A4" s="56" t="s">
        <v>86</v>
      </c>
      <c r="B4" s="52"/>
      <c r="C4" s="52"/>
      <c r="D4" s="52"/>
      <c r="E4" s="52"/>
      <c r="F4" s="53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1.75" customHeight="1">
      <c r="A5" s="54" t="s">
        <v>87</v>
      </c>
      <c r="B5" s="52"/>
      <c r="C5" s="52"/>
      <c r="D5" s="52"/>
      <c r="E5" s="52"/>
      <c r="F5" s="53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75" customHeight="1">
      <c r="A6" s="56" t="s">
        <v>88</v>
      </c>
      <c r="B6" s="52"/>
      <c r="C6" s="52"/>
      <c r="D6" s="52"/>
      <c r="E6" s="52"/>
      <c r="F6" s="53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75" customHeight="1">
      <c r="A7" s="54" t="s">
        <v>89</v>
      </c>
      <c r="B7" s="52"/>
      <c r="C7" s="52"/>
      <c r="D7" s="52"/>
      <c r="E7" s="52"/>
      <c r="F7" s="5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75" customHeight="1">
      <c r="A8" s="56" t="s">
        <v>90</v>
      </c>
      <c r="B8" s="52"/>
      <c r="C8" s="52"/>
      <c r="D8" s="52"/>
      <c r="E8" s="52"/>
      <c r="F8" s="5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1.75" customHeight="1">
      <c r="A9" s="54"/>
      <c r="B9" s="52"/>
      <c r="C9" s="52"/>
      <c r="D9" s="52"/>
      <c r="E9" s="52"/>
      <c r="F9" s="5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1.75" customHeight="1">
      <c r="A10" s="55" t="s">
        <v>91</v>
      </c>
      <c r="B10" s="52"/>
      <c r="C10" s="52"/>
      <c r="D10" s="52"/>
      <c r="E10" s="52"/>
      <c r="F10" s="5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75" customHeight="1">
      <c r="A11" s="56" t="s">
        <v>92</v>
      </c>
      <c r="B11" s="52"/>
      <c r="C11" s="52"/>
      <c r="D11" s="52"/>
      <c r="E11" s="52"/>
      <c r="F11" s="5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1.75" customHeight="1">
      <c r="A12" s="54" t="s">
        <v>93</v>
      </c>
      <c r="B12" s="52"/>
      <c r="C12" s="52"/>
      <c r="D12" s="52"/>
      <c r="E12" s="52"/>
      <c r="F12" s="53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75" customHeight="1">
      <c r="A13" s="56" t="s">
        <v>94</v>
      </c>
      <c r="B13" s="52"/>
      <c r="C13" s="52"/>
      <c r="D13" s="52"/>
      <c r="E13" s="52"/>
      <c r="F13" s="5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75" customHeight="1">
      <c r="A14" s="54"/>
      <c r="B14" s="52"/>
      <c r="C14" s="52"/>
      <c r="D14" s="52"/>
      <c r="E14" s="52"/>
      <c r="F14" s="53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75" customHeight="1">
      <c r="A15" s="55" t="s">
        <v>95</v>
      </c>
      <c r="B15" s="52"/>
      <c r="C15" s="52"/>
      <c r="D15" s="52"/>
      <c r="E15" s="52"/>
      <c r="F15" s="5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75" customHeight="1">
      <c r="A16" s="56" t="s">
        <v>96</v>
      </c>
      <c r="B16" s="52"/>
      <c r="C16" s="52"/>
      <c r="D16" s="52"/>
      <c r="E16" s="52"/>
      <c r="F16" s="53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54" t="s">
        <v>97</v>
      </c>
      <c r="B17" s="52"/>
      <c r="C17" s="52"/>
      <c r="D17" s="52"/>
      <c r="E17" s="52"/>
      <c r="F17" s="53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75" customHeight="1">
      <c r="A18" s="56" t="s">
        <v>98</v>
      </c>
      <c r="B18" s="52"/>
      <c r="C18" s="52"/>
      <c r="D18" s="52"/>
      <c r="E18" s="52"/>
      <c r="F18" s="53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75" customHeight="1">
      <c r="A19" s="54" t="s">
        <v>99</v>
      </c>
      <c r="B19" s="52"/>
      <c r="C19" s="52"/>
      <c r="D19" s="52"/>
      <c r="E19" s="52"/>
      <c r="F19" s="5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75" customHeight="1">
      <c r="A20" s="54"/>
      <c r="B20" s="52"/>
      <c r="C20" s="52"/>
      <c r="D20" s="52"/>
      <c r="E20" s="52"/>
      <c r="F20" s="53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75" customHeight="1">
      <c r="A21" s="57" t="s">
        <v>100</v>
      </c>
      <c r="B21" s="52"/>
      <c r="C21" s="52"/>
      <c r="D21" s="52"/>
      <c r="E21" s="52"/>
      <c r="F21" s="53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75" customHeight="1">
      <c r="A22" s="54"/>
      <c r="B22" s="52"/>
      <c r="C22" s="52"/>
      <c r="D22" s="52"/>
      <c r="E22" s="52"/>
      <c r="F22" s="53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75" customHeight="1">
      <c r="A23" s="55" t="s">
        <v>101</v>
      </c>
      <c r="B23" s="52"/>
      <c r="C23" s="52"/>
      <c r="D23" s="52"/>
      <c r="E23" s="52"/>
      <c r="F23" s="53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75" customHeight="1">
      <c r="A24" s="56" t="s">
        <v>102</v>
      </c>
      <c r="B24" s="52"/>
      <c r="C24" s="52"/>
      <c r="D24" s="52"/>
      <c r="E24" s="52"/>
      <c r="F24" s="53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75" customHeight="1">
      <c r="A25" s="54" t="s">
        <v>103</v>
      </c>
      <c r="B25" s="52"/>
      <c r="C25" s="52"/>
      <c r="D25" s="52"/>
      <c r="E25" s="52"/>
      <c r="F25" s="53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75" customHeight="1">
      <c r="A26" s="56" t="s">
        <v>104</v>
      </c>
      <c r="B26" s="52"/>
      <c r="C26" s="52"/>
      <c r="D26" s="52"/>
      <c r="E26" s="52"/>
      <c r="F26" s="53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75" customHeight="1">
      <c r="A27" s="54" t="s">
        <v>105</v>
      </c>
      <c r="B27" s="52"/>
      <c r="C27" s="52"/>
      <c r="D27" s="52"/>
      <c r="E27" s="52"/>
      <c r="F27" s="53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.75" customHeight="1">
      <c r="A28" s="54"/>
      <c r="B28" s="52"/>
      <c r="C28" s="52"/>
      <c r="D28" s="52"/>
      <c r="E28" s="52"/>
      <c r="F28" s="53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.75" customHeight="1">
      <c r="A29" s="58" t="s">
        <v>106</v>
      </c>
      <c r="B29" s="52"/>
      <c r="C29" s="52"/>
      <c r="D29" s="52"/>
      <c r="E29" s="52"/>
      <c r="F29" s="5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22:F22"/>
    <mergeCell ref="A23:F23"/>
    <mergeCell ref="A24:F24"/>
    <mergeCell ref="A25:F25"/>
    <mergeCell ref="A26:F26"/>
    <mergeCell ref="A27:F27"/>
    <mergeCell ref="A28:F28"/>
    <mergeCell ref="A29:F29"/>
    <mergeCell ref="A15:F15"/>
    <mergeCell ref="A16:F16"/>
    <mergeCell ref="A17:F17"/>
    <mergeCell ref="A18:F18"/>
    <mergeCell ref="A19:F19"/>
    <mergeCell ref="A20:F20"/>
    <mergeCell ref="A21:F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8.0"/>
    <col customWidth="1" min="2" max="2" width="16.0"/>
    <col customWidth="1" min="3" max="8" width="14.0"/>
    <col customWidth="1" min="9" max="9" width="12.0"/>
  </cols>
  <sheetData>
    <row r="1" ht="27.75" customHeight="1">
      <c r="A1" s="59" t="s">
        <v>107</v>
      </c>
      <c r="B1" s="4"/>
      <c r="C1" s="4"/>
      <c r="D1" s="4"/>
      <c r="E1" s="4"/>
      <c r="F1" s="4"/>
      <c r="G1" s="4"/>
      <c r="H1" s="4"/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1.5" customHeight="1">
      <c r="A2" s="38" t="s">
        <v>6</v>
      </c>
      <c r="B2" s="38" t="s">
        <v>108</v>
      </c>
      <c r="C2" s="38" t="s">
        <v>109</v>
      </c>
      <c r="D2" s="38" t="s">
        <v>110</v>
      </c>
      <c r="E2" s="38" t="s">
        <v>111</v>
      </c>
      <c r="F2" s="38" t="s">
        <v>112</v>
      </c>
      <c r="G2" s="38" t="s">
        <v>113</v>
      </c>
      <c r="H2" s="38" t="s">
        <v>114</v>
      </c>
      <c r="I2" s="38" t="s">
        <v>23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13" t="s">
        <v>25</v>
      </c>
      <c r="B3" s="60" t="s">
        <v>115</v>
      </c>
      <c r="C3" s="61">
        <f>IFERROR(SUM('📊 Monthly Tracker'!D7,'📊 Monthly Tracker'!G7,'📊 Monthly Tracker'!J7),"")</f>
        <v>5</v>
      </c>
      <c r="D3" s="61">
        <f>IFERROR(SUM('📊 Monthly Tracker'!M7,'📊 Monthly Tracker'!P7,'📊 Monthly Tracker'!S7),"")</f>
        <v>0</v>
      </c>
      <c r="E3" s="61">
        <f>IFERROR(SUM('📊 Monthly Tracker'!V7,'📊 Monthly Tracker'!Y7,'📊 Monthly Tracker'!AB7),"")</f>
        <v>0</v>
      </c>
      <c r="F3" s="61">
        <f>IFERROR(SUM('📊 Monthly Tracker'!AE7,'📊 Monthly Tracker'!AH7,'📊 Monthly Tracker'!AK7),"")</f>
        <v>0</v>
      </c>
      <c r="G3" s="62">
        <f>IFERROR(SUM('📊 Monthly Tracker'!D7,'📊 Monthly Tracker'!G7,'📊 Monthly Tracker'!J7,'📊 Monthly Tracker'!M7,'📊 Monthly Tracker'!P7,'📊 Monthly Tracker'!S7,'📊 Monthly Tracker'!V7,'📊 Monthly Tracker'!Y7,'📊 Monthly Tracker'!AB7,'📊 Monthly Tracker'!AE7,'📊 Monthly Tracker'!AH7,'📊 Monthly Tracker'!AK7),"")</f>
        <v>5</v>
      </c>
      <c r="H3" s="19">
        <f>'📊 Monthly Tracker'!AJ7</f>
        <v>14</v>
      </c>
      <c r="I3" s="16">
        <f t="shared" ref="I3:I18" si="1">IFERROR(IF(H3=0,"—",IF(G3="","",G3/H3)),"—")</f>
        <v>0.3571428571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17" t="s">
        <v>26</v>
      </c>
      <c r="B4" s="63" t="s">
        <v>116</v>
      </c>
      <c r="C4" s="61">
        <f>IFERROR(SUM('📊 Monthly Tracker'!D8,'📊 Monthly Tracker'!G8,'📊 Monthly Tracker'!J8),"")</f>
        <v>5</v>
      </c>
      <c r="D4" s="61">
        <f>IFERROR(SUM('📊 Monthly Tracker'!M8,'📊 Monthly Tracker'!P8,'📊 Monthly Tracker'!S8),"")</f>
        <v>0</v>
      </c>
      <c r="E4" s="61">
        <f>IFERROR(SUM('📊 Monthly Tracker'!V8,'📊 Monthly Tracker'!Y8,'📊 Monthly Tracker'!AB8),"")</f>
        <v>0</v>
      </c>
      <c r="F4" s="61">
        <f>IFERROR(SUM('📊 Monthly Tracker'!AE8,'📊 Monthly Tracker'!AH8,'📊 Monthly Tracker'!AK8),"")</f>
        <v>0</v>
      </c>
      <c r="G4" s="62">
        <f>IFERROR(SUM('📊 Monthly Tracker'!D8,'📊 Monthly Tracker'!G8,'📊 Monthly Tracker'!J8,'📊 Monthly Tracker'!M8,'📊 Monthly Tracker'!P8,'📊 Monthly Tracker'!S8,'📊 Monthly Tracker'!V8,'📊 Monthly Tracker'!Y8,'📊 Monthly Tracker'!AB8,'📊 Monthly Tracker'!AE8,'📊 Monthly Tracker'!AH8,'📊 Monthly Tracker'!AK8),"")</f>
        <v>5</v>
      </c>
      <c r="H4" s="14">
        <f>'📊 Monthly Tracker'!AJ8</f>
        <v>111</v>
      </c>
      <c r="I4" s="18">
        <f t="shared" si="1"/>
        <v>0.04504504505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13" t="s">
        <v>27</v>
      </c>
      <c r="B5" s="60" t="s">
        <v>117</v>
      </c>
      <c r="C5" s="64">
        <f>IFERROR(SUM('📊 Monthly Tracker'!D9,'📊 Monthly Tracker'!G9,'📊 Monthly Tracker'!J9),"")</f>
        <v>0.773</v>
      </c>
      <c r="D5" s="61">
        <f>IFERROR(SUM('📊 Monthly Tracker'!M9,'📊 Monthly Tracker'!P9,'📊 Monthly Tracker'!S9),"")</f>
        <v>0</v>
      </c>
      <c r="E5" s="61">
        <f>IFERROR(SUM('📊 Monthly Tracker'!V9,'📊 Monthly Tracker'!Y9,'📊 Monthly Tracker'!AB9),"")</f>
        <v>0</v>
      </c>
      <c r="F5" s="61">
        <f>IFERROR(SUM('📊 Monthly Tracker'!AE9,'📊 Monthly Tracker'!AH9,'📊 Monthly Tracker'!AK9),"")</f>
        <v>0</v>
      </c>
      <c r="G5" s="65">
        <f>IFERROR(SUM('📊 Monthly Tracker'!D9,'📊 Monthly Tracker'!G9,'📊 Monthly Tracker'!J9,'📊 Monthly Tracker'!M9,'📊 Monthly Tracker'!P9,'📊 Monthly Tracker'!S9,'📊 Monthly Tracker'!V9,'📊 Monthly Tracker'!Y9,'📊 Monthly Tracker'!AB9,'📊 Monthly Tracker'!AE9,'📊 Monthly Tracker'!AH9,'📊 Monthly Tracker'!AK9),"")</f>
        <v>0.773</v>
      </c>
      <c r="H5" s="22">
        <f>'📊 Monthly Tracker'!AJ9</f>
        <v>0.65</v>
      </c>
      <c r="I5" s="16">
        <f t="shared" si="1"/>
        <v>1.189230769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17" t="s">
        <v>28</v>
      </c>
      <c r="B6" s="63" t="s">
        <v>118</v>
      </c>
      <c r="C6" s="64">
        <f>IFERROR(SUM('📊 Monthly Tracker'!D10,'📊 Monthly Tracker'!G10,'📊 Monthly Tracker'!J10),"")</f>
        <v>0.242</v>
      </c>
      <c r="D6" s="61">
        <f>IFERROR(SUM('📊 Monthly Tracker'!M10,'📊 Monthly Tracker'!P10,'📊 Monthly Tracker'!S10),"")</f>
        <v>0</v>
      </c>
      <c r="E6" s="61">
        <f>IFERROR(SUM('📊 Monthly Tracker'!V10,'📊 Monthly Tracker'!Y10,'📊 Monthly Tracker'!AB10),"")</f>
        <v>0</v>
      </c>
      <c r="F6" s="61">
        <f>IFERROR(SUM('📊 Monthly Tracker'!AE10,'📊 Monthly Tracker'!AH10,'📊 Monthly Tracker'!AK10),"")</f>
        <v>0</v>
      </c>
      <c r="G6" s="65">
        <f>IFERROR(SUM('📊 Monthly Tracker'!D10,'📊 Monthly Tracker'!G10,'📊 Monthly Tracker'!J10,'📊 Monthly Tracker'!M10,'📊 Monthly Tracker'!P10,'📊 Monthly Tracker'!S10,'📊 Monthly Tracker'!V10,'📊 Monthly Tracker'!Y10,'📊 Monthly Tracker'!AB10,'📊 Monthly Tracker'!AE10,'📊 Monthly Tracker'!AH10,'📊 Monthly Tracker'!AK10),"")</f>
        <v>0.242</v>
      </c>
      <c r="H6" s="20">
        <f>'📊 Monthly Tracker'!AJ10</f>
        <v>0.23</v>
      </c>
      <c r="I6" s="18">
        <f t="shared" si="1"/>
        <v>1.052173913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3" t="s">
        <v>119</v>
      </c>
      <c r="B7" s="60" t="s">
        <v>120</v>
      </c>
      <c r="C7" s="66" t="str">
        <f>IFERROR('📊 Monthly Tracker'!J11,"")</f>
        <v/>
      </c>
      <c r="D7" s="66" t="str">
        <f>IFERROR('📊 Monthly Tracker'!S11,"")</f>
        <v/>
      </c>
      <c r="E7" s="66" t="str">
        <f>IFERROR('📊 Monthly Tracker'!AB11,"")</f>
        <v/>
      </c>
      <c r="F7" s="66" t="str">
        <f>IFERROR('📊 Monthly Tracker'!AK11,"")</f>
        <v/>
      </c>
      <c r="G7" s="67" t="str">
        <f>IFERROR('📊 Monthly Tracker'!AK11,"")</f>
        <v/>
      </c>
      <c r="H7" s="22">
        <f>'📊 Monthly Tracker'!AJ11</f>
        <v>0.4</v>
      </c>
      <c r="I7" s="16" t="str">
        <f t="shared" si="1"/>
        <v/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17" t="s">
        <v>121</v>
      </c>
      <c r="B8" s="63" t="s">
        <v>122</v>
      </c>
      <c r="C8" s="61" t="str">
        <f>IFERROR(AVERAGE('📊 Monthly Tracker'!D15,'📊 Monthly Tracker'!G15,'📊 Monthly Tracker'!J15),"")</f>
        <v/>
      </c>
      <c r="D8" s="61" t="str">
        <f>IFERROR(AVERAGE('📊 Monthly Tracker'!M15,'📊 Monthly Tracker'!P15,'📊 Monthly Tracker'!S15),"")</f>
        <v/>
      </c>
      <c r="E8" s="61" t="str">
        <f>IFERROR(AVERAGE('📊 Monthly Tracker'!V15,'📊 Monthly Tracker'!Y15,'📊 Monthly Tracker'!AB15),"")</f>
        <v/>
      </c>
      <c r="F8" s="61" t="str">
        <f>IFERROR(AVERAGE('📊 Monthly Tracker'!AE15,'📊 Monthly Tracker'!AH15,'📊 Monthly Tracker'!AK15),"")</f>
        <v/>
      </c>
      <c r="G8" s="62" t="str">
        <f>IFERROR(AVERAGE('📊 Monthly Tracker'!D15,'📊 Monthly Tracker'!G15,'📊 Monthly Tracker'!J15,'📊 Monthly Tracker'!M15,'📊 Monthly Tracker'!P15,'📊 Monthly Tracker'!S15,'📊 Monthly Tracker'!V15,'📊 Monthly Tracker'!Y15,'📊 Monthly Tracker'!AB15,'📊 Monthly Tracker'!AE15,'📊 Monthly Tracker'!AH15,'📊 Monthly Tracker'!AK15),"")</f>
        <v/>
      </c>
      <c r="H8" s="14">
        <f>'📊 Monthly Tracker'!AJ15</f>
        <v>4.5</v>
      </c>
      <c r="I8" s="18" t="str">
        <f t="shared" si="1"/>
        <v/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13" t="s">
        <v>123</v>
      </c>
      <c r="B9" s="60" t="s">
        <v>124</v>
      </c>
      <c r="C9" s="64">
        <f>IFERROR(AVERAGE('📊 Monthly Tracker'!D16,'📊 Monthly Tracker'!G16,'📊 Monthly Tracker'!J16),"")</f>
        <v>0.0874</v>
      </c>
      <c r="D9" s="61" t="str">
        <f>IFERROR(AVERAGE('📊 Monthly Tracker'!M16,'📊 Monthly Tracker'!P16,'📊 Monthly Tracker'!S16),"")</f>
        <v/>
      </c>
      <c r="E9" s="61" t="str">
        <f>IFERROR(AVERAGE('📊 Monthly Tracker'!V16,'📊 Monthly Tracker'!Y16,'📊 Monthly Tracker'!AB16),"")</f>
        <v/>
      </c>
      <c r="F9" s="61" t="str">
        <f>IFERROR(AVERAGE('📊 Monthly Tracker'!AE16,'📊 Monthly Tracker'!AH16,'📊 Monthly Tracker'!AK16),"")</f>
        <v/>
      </c>
      <c r="G9" s="65">
        <f>IFERROR(AVERAGE('📊 Monthly Tracker'!D16,'📊 Monthly Tracker'!G16,'📊 Monthly Tracker'!J16,'📊 Monthly Tracker'!M16,'📊 Monthly Tracker'!P16,'📊 Monthly Tracker'!S16,'📊 Monthly Tracker'!V16,'📊 Monthly Tracker'!Y16,'📊 Monthly Tracker'!AB16,'📊 Monthly Tracker'!AE16,'📊 Monthly Tracker'!AH16,'📊 Monthly Tracker'!AK16),"")</f>
        <v>0.0874</v>
      </c>
      <c r="H9" s="22">
        <f>'📊 Monthly Tracker'!AJ16</f>
        <v>0.03</v>
      </c>
      <c r="I9" s="16">
        <f t="shared" si="1"/>
        <v>2.913333333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17" t="s">
        <v>125</v>
      </c>
      <c r="B10" s="63" t="s">
        <v>126</v>
      </c>
      <c r="C10" s="61">
        <f>IFERROR(SUM('📊 Monthly Tracker'!D17,'📊 Monthly Tracker'!G17,'📊 Monthly Tracker'!J17),"")</f>
        <v>3</v>
      </c>
      <c r="D10" s="61">
        <f>IFERROR(SUM('📊 Monthly Tracker'!M17,'📊 Monthly Tracker'!P17,'📊 Monthly Tracker'!S17),"")</f>
        <v>0</v>
      </c>
      <c r="E10" s="61">
        <f>IFERROR(SUM('📊 Monthly Tracker'!V17,'📊 Monthly Tracker'!Y17,'📊 Monthly Tracker'!AB17),"")</f>
        <v>0</v>
      </c>
      <c r="F10" s="61">
        <f>IFERROR(SUM('📊 Monthly Tracker'!AE17,'📊 Monthly Tracker'!AH17,'📊 Monthly Tracker'!AK17),"")</f>
        <v>0</v>
      </c>
      <c r="G10" s="62">
        <f>IFERROR(SUM('📊 Monthly Tracker'!D17,'📊 Monthly Tracker'!G17,'📊 Monthly Tracker'!J17,'📊 Monthly Tracker'!M17,'📊 Monthly Tracker'!P17,'📊 Monthly Tracker'!S17,'📊 Monthly Tracker'!V17,'📊 Monthly Tracker'!Y17,'📊 Monthly Tracker'!AB17,'📊 Monthly Tracker'!AE17,'📊 Monthly Tracker'!AH17,'📊 Monthly Tracker'!AK17),"")</f>
        <v>3</v>
      </c>
      <c r="H10" s="14">
        <f>'📊 Monthly Tracker'!AJ17</f>
        <v>420</v>
      </c>
      <c r="I10" s="18">
        <f t="shared" si="1"/>
        <v>0.007142857143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13" t="s">
        <v>127</v>
      </c>
      <c r="B11" s="60" t="s">
        <v>128</v>
      </c>
      <c r="C11" s="61">
        <f>IFERROR(AVERAGE('📊 Monthly Tracker'!D19,'📊 Monthly Tracker'!G19,'📊 Monthly Tracker'!J19),"")</f>
        <v>0</v>
      </c>
      <c r="D11" s="61" t="str">
        <f>IFERROR(AVERAGE('📊 Monthly Tracker'!M19,'📊 Monthly Tracker'!P19,'📊 Monthly Tracker'!S19),"")</f>
        <v/>
      </c>
      <c r="E11" s="61" t="str">
        <f>IFERROR(AVERAGE('📊 Monthly Tracker'!V19,'📊 Monthly Tracker'!Y19,'📊 Monthly Tracker'!AB19),"")</f>
        <v/>
      </c>
      <c r="F11" s="61" t="str">
        <f>IFERROR(AVERAGE('📊 Monthly Tracker'!AE19,'📊 Monthly Tracker'!AH19,'📊 Monthly Tracker'!AK19),"")</f>
        <v/>
      </c>
      <c r="G11" s="62">
        <f>IFERROR(AVERAGE('📊 Monthly Tracker'!D19,'📊 Monthly Tracker'!G19,'📊 Monthly Tracker'!J19,'📊 Monthly Tracker'!M19,'📊 Monthly Tracker'!P19,'📊 Monthly Tracker'!S19,'📊 Monthly Tracker'!V19,'📊 Monthly Tracker'!Y19,'📊 Monthly Tracker'!AB19,'📊 Monthly Tracker'!AE19,'📊 Monthly Tracker'!AH19,'📊 Monthly Tracker'!AK19),"")</f>
        <v>0</v>
      </c>
      <c r="H11" s="19">
        <f>'📊 Monthly Tracker'!AJ19</f>
        <v>200</v>
      </c>
      <c r="I11" s="16">
        <f t="shared" si="1"/>
        <v>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17" t="s">
        <v>129</v>
      </c>
      <c r="B12" s="63" t="s">
        <v>130</v>
      </c>
      <c r="C12" s="61" t="str">
        <f>IFERROR(AVERAGE('📊 Monthly Tracker'!D26,'📊 Monthly Tracker'!G26,'📊 Monthly Tracker'!J26),"")</f>
        <v/>
      </c>
      <c r="D12" s="61" t="str">
        <f>IFERROR(AVERAGE('📊 Monthly Tracker'!M26,'📊 Monthly Tracker'!P26,'📊 Monthly Tracker'!S26),"")</f>
        <v/>
      </c>
      <c r="E12" s="61" t="str">
        <f>IFERROR(AVERAGE('📊 Monthly Tracker'!V26,'📊 Monthly Tracker'!Y26,'📊 Monthly Tracker'!AB26),"")</f>
        <v/>
      </c>
      <c r="F12" s="61" t="str">
        <f>IFERROR(AVERAGE('📊 Monthly Tracker'!AE26,'📊 Monthly Tracker'!AH26,'📊 Monthly Tracker'!AK26),"")</f>
        <v/>
      </c>
      <c r="G12" s="62" t="str">
        <f>IFERROR(AVERAGE('📊 Monthly Tracker'!D26,'📊 Monthly Tracker'!G26,'📊 Monthly Tracker'!J26,'📊 Monthly Tracker'!M26,'📊 Monthly Tracker'!P26,'📊 Monthly Tracker'!S26,'📊 Monthly Tracker'!V26,'📊 Monthly Tracker'!Y26,'📊 Monthly Tracker'!AB26,'📊 Monthly Tracker'!AE26,'📊 Monthly Tracker'!AH26,'📊 Monthly Tracker'!AK26),"")</f>
        <v/>
      </c>
      <c r="H12" s="14">
        <f>'📊 Monthly Tracker'!AJ26</f>
        <v>10</v>
      </c>
      <c r="I12" s="18" t="str">
        <f t="shared" si="1"/>
        <v/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13" t="s">
        <v>131</v>
      </c>
      <c r="B13" s="60" t="s">
        <v>132</v>
      </c>
      <c r="C13" s="68" t="str">
        <f>IFERROR('📊 Monthly Tracker'!J27,"")</f>
        <v/>
      </c>
      <c r="D13" s="68" t="str">
        <f>IFERROR('📊 Monthly Tracker'!S27,"")</f>
        <v/>
      </c>
      <c r="E13" s="68" t="str">
        <f>IFERROR('📊 Monthly Tracker'!AB27,"")</f>
        <v/>
      </c>
      <c r="F13" s="68" t="str">
        <f>IFERROR('📊 Monthly Tracker'!AK27,"")</f>
        <v/>
      </c>
      <c r="G13" s="69" t="str">
        <f>IFERROR('📊 Monthly Tracker'!AK27,"")</f>
        <v/>
      </c>
      <c r="H13" s="19">
        <f>'📊 Monthly Tracker'!AJ27</f>
        <v>8</v>
      </c>
      <c r="I13" s="16" t="str">
        <f t="shared" si="1"/>
        <v/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17" t="s">
        <v>133</v>
      </c>
      <c r="B14" s="63" t="s">
        <v>134</v>
      </c>
      <c r="C14" s="66" t="str">
        <f>IFERROR('📊 Monthly Tracker'!J28,"")</f>
        <v/>
      </c>
      <c r="D14" s="66" t="str">
        <f>IFERROR('📊 Monthly Tracker'!S28,"")</f>
        <v/>
      </c>
      <c r="E14" s="66" t="str">
        <f>IFERROR('📊 Monthly Tracker'!AB28,"")</f>
        <v/>
      </c>
      <c r="F14" s="66" t="str">
        <f>IFERROR('📊 Monthly Tracker'!AK28,"")</f>
        <v/>
      </c>
      <c r="G14" s="67" t="str">
        <f>IFERROR('📊 Monthly Tracker'!AK28,"")</f>
        <v/>
      </c>
      <c r="H14" s="20">
        <f>'📊 Monthly Tracker'!AJ28</f>
        <v>0.4</v>
      </c>
      <c r="I14" s="18" t="str">
        <f t="shared" si="1"/>
        <v/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13" t="s">
        <v>135</v>
      </c>
      <c r="B15" s="60" t="s">
        <v>136</v>
      </c>
      <c r="C15" s="66" t="str">
        <f>IFERROR('📊 Monthly Tracker'!J29,"")</f>
        <v/>
      </c>
      <c r="D15" s="66" t="str">
        <f>IFERROR('📊 Monthly Tracker'!S29,"")</f>
        <v/>
      </c>
      <c r="E15" s="66" t="str">
        <f>IFERROR('📊 Monthly Tracker'!AB29,"")</f>
        <v/>
      </c>
      <c r="F15" s="66" t="str">
        <f>IFERROR('📊 Monthly Tracker'!AK29,"")</f>
        <v/>
      </c>
      <c r="G15" s="67" t="str">
        <f>IFERROR('📊 Monthly Tracker'!AK29,"")</f>
        <v/>
      </c>
      <c r="H15" s="22">
        <f>'📊 Monthly Tracker'!AJ29</f>
        <v>0.1</v>
      </c>
      <c r="I15" s="16" t="str">
        <f t="shared" si="1"/>
        <v/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17" t="s">
        <v>137</v>
      </c>
      <c r="B16" s="63" t="s">
        <v>138</v>
      </c>
      <c r="C16" s="61" t="str">
        <f>IFERROR(AVERAGE('📊 Monthly Tracker'!D31,'📊 Monthly Tracker'!G31,'📊 Monthly Tracker'!J31),"")</f>
        <v/>
      </c>
      <c r="D16" s="61" t="str">
        <f>IFERROR(AVERAGE('📊 Monthly Tracker'!M31,'📊 Monthly Tracker'!P31,'📊 Monthly Tracker'!S31),"")</f>
        <v/>
      </c>
      <c r="E16" s="61" t="str">
        <f>IFERROR(AVERAGE('📊 Monthly Tracker'!V31,'📊 Monthly Tracker'!Y31,'📊 Monthly Tracker'!AB31),"")</f>
        <v/>
      </c>
      <c r="F16" s="61" t="str">
        <f>IFERROR(AVERAGE('📊 Monthly Tracker'!AE31,'📊 Monthly Tracker'!AH31,'📊 Monthly Tracker'!AK31),"")</f>
        <v/>
      </c>
      <c r="G16" s="62" t="str">
        <f>IFERROR(AVERAGE('📊 Monthly Tracker'!D31,'📊 Monthly Tracker'!G31,'📊 Monthly Tracker'!J31,'📊 Monthly Tracker'!M31,'📊 Monthly Tracker'!P31,'📊 Monthly Tracker'!S31,'📊 Monthly Tracker'!V31,'📊 Monthly Tracker'!Y31,'📊 Monthly Tracker'!AB31,'📊 Monthly Tracker'!AE31,'📊 Monthly Tracker'!AH31,'📊 Monthly Tracker'!AK31),"")</f>
        <v/>
      </c>
      <c r="H16" s="14">
        <f>'📊 Monthly Tracker'!AJ31</f>
        <v>30</v>
      </c>
      <c r="I16" s="18" t="str">
        <f t="shared" si="1"/>
        <v/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13" t="s">
        <v>139</v>
      </c>
      <c r="B17" s="60" t="s">
        <v>140</v>
      </c>
      <c r="C17" s="61" t="str">
        <f>IFERROR('📊 Monthly Tracker'!J34,"")</f>
        <v/>
      </c>
      <c r="D17" s="61" t="str">
        <f>IFERROR('📊 Monthly Tracker'!S34,"")</f>
        <v/>
      </c>
      <c r="E17" s="61" t="str">
        <f>IFERROR('📊 Monthly Tracker'!AB34,"")</f>
        <v/>
      </c>
      <c r="F17" s="61" t="str">
        <f>IFERROR('📊 Monthly Tracker'!AK34,"")</f>
        <v/>
      </c>
      <c r="G17" s="62" t="str">
        <f>IFERROR('📊 Monthly Tracker'!AK34,"")</f>
        <v/>
      </c>
      <c r="H17" s="60" t="str">
        <f>'📊 Monthly Tracker'!AJ34</f>
        <v/>
      </c>
      <c r="I17" s="16" t="str">
        <f t="shared" si="1"/>
        <v>—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17" t="s">
        <v>141</v>
      </c>
      <c r="B18" s="63" t="s">
        <v>142</v>
      </c>
      <c r="C18" s="61" t="str">
        <f>IFERROR('📊 Monthly Tracker'!J35,"")</f>
        <v/>
      </c>
      <c r="D18" s="61" t="str">
        <f>IFERROR('📊 Monthly Tracker'!S35,"")</f>
        <v/>
      </c>
      <c r="E18" s="61" t="str">
        <f>IFERROR('📊 Monthly Tracker'!AB35,"")</f>
        <v/>
      </c>
      <c r="F18" s="61" t="str">
        <f>IFERROR('📊 Monthly Tracker'!AK35,"")</f>
        <v/>
      </c>
      <c r="G18" s="62" t="str">
        <f>IFERROR('📊 Monthly Tracker'!AK35,"")</f>
        <v/>
      </c>
      <c r="H18" s="63" t="str">
        <f>'📊 Monthly Tracker'!AJ35</f>
        <v/>
      </c>
      <c r="I18" s="18" t="str">
        <f t="shared" si="1"/>
        <v>—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